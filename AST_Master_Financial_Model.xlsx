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3c88a9dbf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ddac5bb2c04ca6"/>
    <x:sheet xmlns:r="http://schemas.openxmlformats.org/officeDocument/2006/relationships" name="Assumptions" sheetId="2" r:id="R93471b9a7e1f4f58"/>
    <x:sheet xmlns:r="http://schemas.openxmlformats.org/officeDocument/2006/relationships" name="Base Case" sheetId="3" r:id="Rb505684b9f704cdc"/>
    <x:sheet xmlns:r="http://schemas.openxmlformats.org/officeDocument/2006/relationships" name="Scenario 1 Policy" sheetId="4" r:id="Rc1c0cddb22d14612"/>
    <x:sheet xmlns:r="http://schemas.openxmlformats.org/officeDocument/2006/relationships" name="Scenario 2 Costs" sheetId="5" r:id="R98e1a215376e4e5d"/>
    <x:sheet xmlns:r="http://schemas.openxmlformats.org/officeDocument/2006/relationships" name="Source" sheetId="6" r:id="Ra6e04ecd07d54a46"/>
    <x:sheet xmlns:r="http://schemas.openxmlformats.org/officeDocument/2006/relationships" name="Checks" sheetId="7" r:id="R6019b1acefce4313"/>
    <x:sheet xmlns:r="http://schemas.openxmlformats.org/officeDocument/2006/relationships" name="Notes" sheetId="8" r:id="Rd6ccee6637ba46f0"/>
    <x:sheet xmlns:r="http://schemas.openxmlformats.org/officeDocument/2006/relationships" name="Scenario 3 Demand" sheetId="9" r:id="R4453e265cf5f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;(#,##0.0);&quot;–&quot;"/>
    <x:numFmt numFmtId="201" formatCode="0.0%"/>
    <x:numFmt numFmtId="202" formatCode="0.00%"/>
    <x:numFmt numFmtId="203" formatCode="0.0"/>
    <x:numFmt numFmtId="204" formatCode="0"/>
    <x:numFmt numFmtId="205" formatCode="mmm-yy"/>
    <x:numFmt numFmtId="206" formatCode="0.0&quot;x&quot;"/>
    <x:numFmt numFmtId="207" formatCode="0.00;(0.00);0.00"/>
  </x:numFmts>
  <x:fonts count="13">
    <x:font>
      <x:sz val="11"/>
      <x:name val="Carlito"/>
    </x:font>
    <x:font>
      <x:sz val="10"/>
      <x:color rgb="FF172A3A"/>
      <x:name val="Arial"/>
    </x:font>
    <x:font>
      <x:b/>
      <x:sz val="15"/>
      <x:color rgb="FF172A3A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0"/>
      <x:color rgb="FF008040"/>
      <x:name val="Arial"/>
    </x:font>
    <x:font>
      <x:b/>
      <x:sz val="10"/>
      <x:color rgb="FF172A3A"/>
      <x:name val="Arial"/>
    </x:font>
    <x:font>
      <x:sz val="10"/>
      <x:color rgb="FF000000"/>
      <x:name val="Arial"/>
    </x:font>
    <x:font>
      <x:b/>
      <x:sz val="9"/>
      <x:color rgb="FFFFFFFF"/>
      <x:name val="Arial"/>
    </x:font>
    <x:font>
      <x:b/>
      <x:sz val="10"/>
      <x:color rgb="FF008040"/>
      <x:name val="Arial"/>
    </x:font>
    <x:font>
      <x:b/>
      <x:sz val="10"/>
      <x:color rgb="FF000000"/>
      <x:name val="Arial"/>
    </x:font>
    <x:font>
      <x:b/>
      <x:sz val="14"/>
      <x:color rgb="FF172A3A"/>
      <x:name val="Arial"/>
    </x:font>
    <x:font>
      <x:i/>
      <x:sz val="10"/>
      <x:color rgb="FF172A3A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BE9"/>
      </x:patternFill>
    </x:fill>
    <x:fill>
      <x:patternFill patternType="solid">
        <x:fgColor rgb="FF466C7D"/>
      </x:patternFill>
    </x:fill>
    <x:fill>
      <x:patternFill patternType="solid">
        <x:fgColor rgb="FF946343"/>
      </x:patternFill>
    </x:fill>
    <x:fill>
      <x:patternFill patternType="solid">
        <x:fgColor rgb="FF796B95"/>
      </x:patternFill>
    </x:fill>
    <x:fill>
      <x:patternFill patternType="solid">
        <x:fgColor rgb="FF287C68"/>
      </x:patternFill>
    </x:fill>
    <x:fill>
      <x:patternFill patternType="solid">
        <x:fgColor rgb="FFDCEBE9"/>
      </x:patternFill>
    </x:fill>
    <x:fill>
      <x:patternFill patternType="solid">
        <x:fgColor rgb="FF17324D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B0C1C9"/>
      </x:top>
      <x:bottom/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0" borderId="0" xfId="0" applyNumberFormat="1" applyFont="1" applyFill="1" applyBorder="1"/>
    <x:xf numFmtId="200" fontId="5" fillId="0" borderId="0" xfId="0" applyNumberFormat="1" applyFont="1" applyFill="1" applyBorder="1"/>
    <x:xf numFmtId="201" fontId="3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4" fontId="1" fillId="0" borderId="0" xfId="0" applyNumberFormat="1" applyFont="1" applyFill="1" applyBorder="1"/>
    <x:xf numFmtId="203" fontId="3" fillId="0" borderId="0" xfId="0" applyNumberFormat="1" applyFont="1" applyFill="1" applyBorder="1"/>
    <x:xf numFmtId="205" fontId="1" fillId="0" borderId="0" xfId="0" applyNumberFormat="1" applyFont="1" applyFill="1" applyBorder="1"/>
    <x:xf numFmtId="200" fontId="7" fillId="0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0" fontId="9" fillId="0" borderId="0" xfId="0" applyNumberFormat="1" applyFont="1" applyFill="1" applyBorder="1"/>
    <x:xf numFmtId="200" fontId="10" fillId="0" borderId="0" xfId="0" applyNumberFormat="1" applyFont="1" applyFill="1" applyBorder="1"/>
    <x:xf numFmtId="0" fontId="6" fillId="0" borderId="1" xfId="0" applyNumberFormat="1" applyFont="1" applyFill="1" applyBorder="1"/>
    <x:xf numFmtId="200" fontId="9" fillId="0" borderId="1" xfId="0" applyNumberFormat="1" applyFont="1" applyFill="1" applyBorder="1"/>
    <x:xf numFmtId="200" fontId="10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7" fillId="0" borderId="0" xfId="0" applyNumberFormat="1" applyFont="1" applyFill="1" applyBorder="1"/>
    <x:xf numFmtId="201" fontId="1" fillId="0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200" fontId="1" fillId="2" borderId="0" xfId="0" applyNumberFormat="1" applyFont="1" applyFill="1" applyBorder="1"/>
    <x:xf numFmtId="200" fontId="4" fillId="2" borderId="0" xfId="0" applyNumberFormat="1" applyFont="1" applyFill="1" applyBorder="1"/>
    <x:xf numFmtId="200" fontId="4" fillId="2" borderId="0" xfId="0" applyNumberFormat="1" applyFont="1" applyFill="1" applyBorder="1" applyAlignment="1">
      <x:alignment horizontal="center"/>
    </x:xf>
    <x:xf numFmtId="204" fontId="4" fillId="2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201" fontId="12" fillId="0" borderId="0" xfId="0" applyNumberFormat="1" applyFont="1" applyFill="1" applyBorder="1"/>
    <x:xf numFmtId="206" fontId="1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4" fontId="1" fillId="2" borderId="0" xfId="0" applyNumberFormat="1" applyFont="1" applyFill="1" applyBorder="1"/>
    <x:xf numFmtId="204" fontId="4" fillId="2" borderId="0" xfId="0" applyNumberFormat="1" applyFont="1" applyFill="1" applyBorder="1"/>
    <x:xf numFmtId="0" fontId="5" fillId="0" borderId="0" xfId="0" applyNumberFormat="1" applyFont="1" applyFill="1" applyBorder="1"/>
    <x:xf numFmtId="207" fontId="5" fillId="0" borderId="0" xfId="0" applyNumberFormat="1" applyFont="1" applyFill="1" applyBorder="1"/>
    <x:xf numFmtId="207" fontId="1" fillId="0" borderId="0" xfId="0" applyNumberFormat="1" applyFont="1" applyFill="1" applyBorder="1"/>
    <x:xf numFmtId="207" fontId="6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200" fontId="1" fillId="8" borderId="0" xfId="0" applyNumberFormat="1" applyFont="1" applyFill="1" applyBorder="1"/>
    <x:xf numFmtId="0" fontId="6" fillId="8" borderId="0" xfId="0" applyNumberFormat="1" applyFont="1" applyFill="1" applyBorder="1"/>
    <x:xf numFmtId="200" fontId="6" fillId="8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/>
    <x:xf numFmtId="0" fontId="4" fillId="9" borderId="0" xfId="0" applyNumberFormat="1" applyFont="1" applyFill="1" applyBorder="1"/>
    <x:xf numFmtId="200" fontId="12" fillId="0" borderId="0" xfId="0" applyNumberFormat="1" applyFont="1" applyFill="1" applyBorder="1"/>
    <x:xf numFmtId="200" fontId="4" fillId="9" borderId="0" xfId="0" applyNumberFormat="1" applyFont="1" applyFill="1" applyBorder="1"/>
    <x:xf numFmtId="200" fontId="1" fillId="9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B32424"/>
      </x:font>
      <x:fill>
        <x:patternFill>
          <x:bgColor rgb="FFFCE4E1"/>
        </x:patternFill>
      </x:fill>
    </x:dxf>
    <x:dxf>
      <x:font>
        <x:b/>
        <x:color rgb="FFB32424"/>
      </x:font>
      <x:fill>
        <x:patternFill patternType="solid">
          <x:bgColor rgb="FFFC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b27eeb6144e1a" /><Relationship Type="http://schemas.openxmlformats.org/officeDocument/2006/relationships/theme" Target="/xl/theme/theme1.xml" Id="Racc375ba1812477d" /><Relationship Type="http://schemas.openxmlformats.org/officeDocument/2006/relationships/sharedStrings" Target="/xl/sharedStrings.xml" Id="R8fce856e666b4cc1" /><Relationship Type="http://schemas.openxmlformats.org/officeDocument/2006/relationships/worksheet" Target="/xl/worksheets/sheet1.xml" Id="Rb8ddac5bb2c04ca6" /><Relationship Type="http://schemas.openxmlformats.org/officeDocument/2006/relationships/worksheet" Target="/xl/worksheets/sheet2.xml" Id="R93471b9a7e1f4f58" /><Relationship Type="http://schemas.openxmlformats.org/officeDocument/2006/relationships/worksheet" Target="/xl/worksheets/sheet3.xml" Id="Rb505684b9f704cdc" /><Relationship Type="http://schemas.openxmlformats.org/officeDocument/2006/relationships/worksheet" Target="/xl/worksheets/sheet4.xml" Id="Rc1c0cddb22d14612" /><Relationship Type="http://schemas.openxmlformats.org/officeDocument/2006/relationships/worksheet" Target="/xl/worksheets/sheet5.xml" Id="R98e1a215376e4e5d" /><Relationship Type="http://schemas.openxmlformats.org/officeDocument/2006/relationships/worksheet" Target="/xl/worksheets/sheet6.xml" Id="Ra6e04ecd07d54a46" /><Relationship Type="http://schemas.openxmlformats.org/officeDocument/2006/relationships/worksheet" Target="/xl/worksheets/sheet7.xml" Id="R6019b1acefce4313" /><Relationship Type="http://schemas.openxmlformats.org/officeDocument/2006/relationships/worksheet" Target="/xl/worksheets/sheet8.xml" Id="Rd6ccee6637ba46f0" /><Relationship Type="http://schemas.openxmlformats.org/officeDocument/2006/relationships/worksheet" Target="/xl/worksheets/sheet9.xml" Id="R4453e265cf5f4c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03e6725fb245d2" /><Relationship Type="http://schemas.openxmlformats.org/officeDocument/2006/relationships/chart" Target="/xl/drawings/charts/chart2.xml" Id="R77c4c6f9721b4881" /><Relationship Type="http://schemas.openxmlformats.org/officeDocument/2006/relationships/chart" Target="/xl/drawings/charts/chart3.xml" Id="R45cb28bea5f24466" /><Relationship Type="http://schemas.openxmlformats.org/officeDocument/2006/relationships/chart" Target="/xl/drawings/charts/chart4.xml" Id="R3e8099fe2e0444d8" /><Relationship Type="http://schemas.openxmlformats.org/officeDocument/2006/relationships/chart" Target="/xl/drawings/charts/chart5.xml" Id="R18b78377e97f48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Quarter-end cash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Base</c:v>
          </c:tx>
          <c:spPr>
            <a:ln xmlns:a="http://schemas.openxmlformats.org/drawingml/2006/main" w="19050">
              <a:solidFill>
                <a:srgbClr val="17324D"/>
              </a:solidFill>
              <a:prstDash val="dash"/>
            </a:ln>
          </c:spPr>
          <c:marker>
            <c:symbol val="none"/>
          </c:marker>
          <c:cat>
            <c:strRef>
              <c:f>'Summary'!$C$36:$C$47</c:f>
              <c:strCache>
                <c:ptCount val="0"/>
              </c:strCache>
            </c:strRef>
          </c:cat>
          <c:val>
            <c:numRef>
              <c:f>'Summary'!$D$36:$D$47</c:f>
              <c:numCache>
                <c:formatCode>#,##0.0;(#,##0.0);"–"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Policy shift</c:v>
          </c:tx>
          <c:spPr>
            <a:ln xmlns:a="http://schemas.openxmlformats.org/drawingml/2006/main" w="19050">
              <a:solidFill>
                <a:srgbClr val="B76431"/>
              </a:solidFill>
              <a:prstDash val="solid"/>
            </a:ln>
          </c:spPr>
          <c:marker>
            <c:symbol val="none"/>
          </c:marker>
          <c:cat>
            <c:strRef>
              <c:f>'Summary'!$C$36:$C$47</c:f>
              <c:strCache>
                <c:ptCount val="0"/>
              </c:strCache>
            </c:strRef>
          </c:cat>
          <c:val>
            <c:numRef>
              <c:f>'Summary'!$E$36:$E$47</c:f>
              <c:numCache>
                <c:formatCode>#,##0.0;(#,##0.0);"–"</c:formatCode>
                <c:ptCount val="0"/>
              </c:numCache>
            </c:numRef>
          </c:val>
          <c:smooth val="0"/>
        </c:ser>
        <c:ser>
          <c:idx val="2"/>
          <c:order val="2"/>
          <c:tx>
            <c:v>Cost volatility</c:v>
          </c:tx>
          <c:spPr>
            <a:ln xmlns:a="http://schemas.openxmlformats.org/drawingml/2006/main" w="19050">
              <a:solidFill>
                <a:srgbClr val="796B95"/>
              </a:solidFill>
              <a:prstDash val="solid"/>
            </a:ln>
          </c:spPr>
          <c:marker>
            <c:symbol val="none"/>
          </c:marker>
          <c:cat>
            <c:strRef>
              <c:f>'Summary'!$C$36:$C$47</c:f>
              <c:strCache>
                <c:ptCount val="0"/>
              </c:strCache>
            </c:strRef>
          </c:cat>
          <c:val>
            <c:numRef>
              <c:f>'Summary'!$F$36:$F$47</c:f>
              <c:numCache>
                <c:formatCode>#,##0.0;(#,##0.0);"–"</c:formatCode>
                <c:ptCount val="0"/>
              </c:numCache>
            </c:numRef>
          </c:val>
          <c:smooth val="0"/>
        </c:ser>
        <c:ser>
          <c:idx val="3"/>
          <c:order val="3"/>
          <c:tx>
            <c:v>Demand shift</c:v>
          </c:tx>
          <c:spPr>
            <a:ln xmlns:a="http://schemas.openxmlformats.org/drawingml/2006/main" w="19050">
              <a:solidFill>
                <a:srgbClr val="287C68"/>
              </a:solidFill>
              <a:prstDash val="solid"/>
            </a:ln>
          </c:spPr>
          <c:marker>
            <c:symbol val="none"/>
          </c:marker>
          <c:cat>
            <c:strRef>
              <c:f>'Summary'!$C$36:$C$47</c:f>
              <c:strCache>
                <c:ptCount val="0"/>
              </c:strCache>
            </c:strRef>
          </c:cat>
          <c:val>
            <c:numRef>
              <c:f>'Summary'!$G$36:$G$47</c:f>
              <c:numCache>
                <c:formatCode>#,##0.0;(#,##0.0);"–"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Operating profit by scenario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Base</c:v>
          </c:tx>
          <c:spPr>
            <a:solidFill xmlns:a="http://schemas.openxmlformats.org/drawingml/2006/main">
              <a:srgbClr val="17324D"/>
            </a:solidFill>
          </c:spPr>
          <c:invertIfNegative val="0"/>
          <c:cat>
            <c:strRef>
              <c:f>'Summary'!$C$57:$C$59</c:f>
              <c:strCache>
                <c:ptCount val="0"/>
              </c:strCache>
            </c:strRef>
          </c:cat>
          <c:val>
            <c:numRef>
              <c:f>'Summary'!$D$57:$D$59</c:f>
              <c:numCache>
                <c:formatCode>#,##0.0;(#,##0.0);"–"</c:formatCode>
                <c:ptCount val="0"/>
              </c:numCache>
            </c:numRef>
          </c:val>
        </c:ser>
        <c:ser>
          <c:idx val="1"/>
          <c:order val="1"/>
          <c:tx>
            <c:v>Policy shift</c:v>
          </c:tx>
          <c:spPr>
            <a:solidFill xmlns:a="http://schemas.openxmlformats.org/drawingml/2006/main">
              <a:srgbClr val="B76431"/>
            </a:solidFill>
          </c:spPr>
          <c:invertIfNegative val="0"/>
          <c:cat>
            <c:strRef>
              <c:f>'Summary'!$C$57:$C$59</c:f>
              <c:strCache>
                <c:ptCount val="0"/>
              </c:strCache>
            </c:strRef>
          </c:cat>
          <c:val>
            <c:numRef>
              <c:f>'Summary'!$E$57:$E$59</c:f>
              <c:numCache>
                <c:formatCode>#,##0.0;(#,##0.0);"–"</c:formatCode>
                <c:ptCount val="0"/>
              </c:numCache>
            </c:numRef>
          </c:val>
        </c:ser>
        <c:ser>
          <c:idx val="2"/>
          <c:order val="2"/>
          <c:tx>
            <c:v>Cost volatility</c:v>
          </c:tx>
          <c:spPr>
            <a:solidFill xmlns:a="http://schemas.openxmlformats.org/drawingml/2006/main">
              <a:srgbClr val="796B95"/>
            </a:solidFill>
          </c:spPr>
          <c:invertIfNegative val="0"/>
          <c:cat>
            <c:strRef>
              <c:f>'Summary'!$C$57:$C$59</c:f>
              <c:strCache>
                <c:ptCount val="0"/>
              </c:strCache>
            </c:strRef>
          </c:cat>
          <c:val>
            <c:numRef>
              <c:f>'Summary'!$F$57:$F$59</c:f>
              <c:numCache>
                <c:formatCode>#,##0.0;(#,##0.0);"–"</c:formatCode>
                <c:ptCount val="0"/>
              </c:numCache>
            </c:numRef>
          </c:val>
        </c:ser>
        <c:ser>
          <c:idx val="3"/>
          <c:order val="3"/>
          <c:tx>
            <c:v>Temporary demand</c:v>
          </c:tx>
          <c:spPr>
            <a:solidFill xmlns:a="http://schemas.openxmlformats.org/drawingml/2006/main">
              <a:srgbClr val="287C68"/>
            </a:solidFill>
          </c:spPr>
          <c:invertIfNegative val="0"/>
          <c:cat>
            <c:strRef>
              <c:f>'Summary'!$C$57:$C$59</c:f>
              <c:strCache>
                <c:ptCount val="0"/>
              </c:strCache>
            </c:strRef>
          </c:cat>
          <c:val>
            <c:numRef>
              <c:f>'Summary'!$G$57:$G$59</c:f>
              <c:numCache>
                <c:formatCode>#,##0.0;(#,##0.0);"–"</c:formatCode>
                <c:ptCount val="0"/>
              </c:numCache>
            </c:numRef>
          </c:val>
        </c:ser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Operating margin by scenario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Base margin</c:v>
          </c:tx>
          <c:spPr>
            <a:ln xmlns:a="http://schemas.openxmlformats.org/drawingml/2006/main" w="19050">
              <a:solidFill>
                <a:srgbClr val="17324D"/>
              </a:solidFill>
              <a:prstDash val="dash"/>
            </a:ln>
          </c:spPr>
          <c:marker>
            <c:symbol val="none"/>
          </c:marker>
          <c:cat>
            <c:strRef>
              <c:f>'Summary'!$C$64:$C$66</c:f>
              <c:strCache>
                <c:ptCount val="0"/>
              </c:strCache>
            </c:strRef>
          </c:cat>
          <c:val>
            <c:numRef>
              <c:f>'Summary'!$D$64:$D$66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Policy margin</c:v>
          </c:tx>
          <c:spPr>
            <a:ln xmlns:a="http://schemas.openxmlformats.org/drawingml/2006/main" w="19050">
              <a:solidFill>
                <a:srgbClr val="B76431"/>
              </a:solidFill>
              <a:prstDash val="solid"/>
            </a:ln>
          </c:spPr>
          <c:marker>
            <c:symbol val="none"/>
          </c:marker>
          <c:cat>
            <c:strRef>
              <c:f>'Summary'!$C$64:$C$66</c:f>
              <c:strCache>
                <c:ptCount val="0"/>
              </c:strCache>
            </c:strRef>
          </c:cat>
          <c:val>
            <c:numRef>
              <c:f>'Summary'!$E$64:$E$66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Cost margin</c:v>
          </c:tx>
          <c:spPr>
            <a:ln xmlns:a="http://schemas.openxmlformats.org/drawingml/2006/main" w="19050">
              <a:solidFill>
                <a:srgbClr val="796B95"/>
              </a:solidFill>
              <a:prstDash val="solid"/>
            </a:ln>
          </c:spPr>
          <c:marker>
            <c:symbol val="none"/>
          </c:marker>
          <c:cat>
            <c:strRef>
              <c:f>'Summary'!$C$64:$C$66</c:f>
              <c:strCache>
                <c:ptCount val="0"/>
              </c:strCache>
            </c:strRef>
          </c:cat>
          <c:val>
            <c:numRef>
              <c:f>'Summary'!$F$64:$F$66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Demand margin</c:v>
          </c:tx>
          <c:spPr>
            <a:ln xmlns:a="http://schemas.openxmlformats.org/drawingml/2006/main" w="19050">
              <a:solidFill>
                <a:srgbClr val="287C68"/>
              </a:solidFill>
              <a:prstDash val="solid"/>
            </a:ln>
          </c:spPr>
          <c:marker>
            <c:symbol val="none"/>
          </c:marker>
          <c:cat>
            <c:strRef>
              <c:f>'Summary'!$C$64:$C$66</c:f>
              <c:strCache>
                <c:ptCount val="0"/>
              </c:strCache>
            </c:strRef>
          </c:cat>
          <c:val>
            <c:numRef>
              <c:f>'Summary'!$G$64:$G$66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2024 cost shock: cash bridge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Offset</c:v>
          </c:tx>
          <c:spPr>
            <a:solidFill xmlns:a="http://schemas.openxmlformats.org/drawingml/2006/main">
              <a:srgbClr val="FFFFFF"/>
            </a:solidFill>
          </c:spPr>
          <c:invertIfNegative val="0"/>
          <c:cat>
            <c:strRef>
              <c:f>'Summary'!$C$98:$C$103</c:f>
              <c:strCache>
                <c:ptCount val="0"/>
              </c:strCache>
            </c:strRef>
          </c:cat>
          <c:val>
            <c:numRef>
              <c:f>'Summary'!$D$98:$D$103</c:f>
              <c:numCache>
                <c:formatCode>#,##0.0;(#,##0.0);"–"</c:formatCode>
                <c:ptCount val="0"/>
              </c:numCache>
            </c:numRef>
          </c:val>
        </c:ser>
        <c:ser>
          <c:idx val="1"/>
          <c:order val="1"/>
          <c:tx>
            <c:v>Cash reduction</c:v>
          </c:tx>
          <c:spPr>
            <a:solidFill xmlns:a="http://schemas.openxmlformats.org/drawingml/2006/main">
              <a:srgbClr val="B76431"/>
            </a:solidFill>
          </c:spPr>
          <c:invertIfNegative val="0"/>
          <c:cat>
            <c:strRef>
              <c:f>'Summary'!$C$98:$C$103</c:f>
              <c:strCache>
                <c:ptCount val="0"/>
              </c:strCache>
            </c:strRef>
          </c:cat>
          <c:val>
            <c:numRef>
              <c:f>'Summary'!$E$98:$E$103</c:f>
              <c:numCache>
                <c:formatCode>#,##0.0;(#,##0.0);"–"</c:formatCode>
                <c:ptCount val="0"/>
              </c:numCache>
            </c:numRef>
          </c:val>
        </c:ser>
        <c:ser>
          <c:idx val="2"/>
          <c:order val="2"/>
          <c:tx>
            <c:v>Cash release</c:v>
          </c:tx>
          <c:spPr>
            <a:solidFill xmlns:a="http://schemas.openxmlformats.org/drawingml/2006/main">
              <a:srgbClr val="287C68"/>
            </a:solidFill>
          </c:spPr>
          <c:invertIfNegative val="0"/>
          <c:cat>
            <c:strRef>
              <c:f>'Summary'!$C$98:$C$103</c:f>
              <c:strCache>
                <c:ptCount val="0"/>
              </c:strCache>
            </c:strRef>
          </c:cat>
          <c:val>
            <c:numRef>
              <c:f>'Summary'!$F$98:$F$103</c:f>
              <c:numCache>
                <c:formatCode>#,##0.0;(#,##0.0);"–"</c:formatCode>
                <c:ptCount val="0"/>
              </c:numCache>
            </c:numRef>
          </c:val>
        </c:ser>
        <c:ser>
          <c:idx val="3"/>
          <c:order val="3"/>
          <c:tx>
            <c:v>Total</c:v>
          </c:tx>
          <c:spPr>
            <a:solidFill xmlns:a="http://schemas.openxmlformats.org/drawingml/2006/main">
              <a:srgbClr val="17324D"/>
            </a:solidFill>
          </c:spPr>
          <c:invertIfNegative val="0"/>
          <c:cat>
            <c:strRef>
              <c:f>'Summary'!$C$98:$C$103</c:f>
              <c:strCache>
                <c:ptCount val="0"/>
              </c:strCache>
            </c:strRef>
          </c:cat>
          <c:val>
            <c:numRef>
              <c:f>'Summary'!$G$98:$G$103</c:f>
              <c:numCache>
                <c:formatCode>#,##0.0;(#,##0.0);"–"</c:formatCode>
                <c:ptCount val="0"/>
              </c:numCache>
            </c:numRef>
          </c:val>
        </c:ser>
        <c:gapWidth val="8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2024 material cost recovery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Offset</c:v>
          </c:tx>
          <c:spPr>
            <a:solidFill xmlns:a="http://schemas.openxmlformats.org/drawingml/2006/main">
              <a:srgbClr val="FFFFFF"/>
            </a:solidFill>
          </c:spPr>
          <c:invertIfNegative val="0"/>
          <c:cat>
            <c:strRef>
              <c:f>'Summary'!$C$108:$C$110</c:f>
              <c:strCache>
                <c:ptCount val="0"/>
              </c:strCache>
            </c:strRef>
          </c:cat>
          <c:val>
            <c:numRef>
              <c:f>'Summary'!$D$108:$D$110</c:f>
              <c:numCache>
                <c:formatCode>#,##0.0;(#,##0.0);"–"</c:formatCode>
                <c:ptCount val="0"/>
              </c:numCache>
            </c:numRef>
          </c:val>
        </c:ser>
        <c:ser>
          <c:idx val="1"/>
          <c:order val="1"/>
          <c:tx>
            <c:v>Recovery</c:v>
          </c:tx>
          <c:spPr>
            <a:solidFill xmlns:a="http://schemas.openxmlformats.org/drawingml/2006/main">
              <a:srgbClr val="287C68"/>
            </a:solidFill>
          </c:spPr>
          <c:invertIfNegative val="0"/>
          <c:cat>
            <c:strRef>
              <c:f>'Summary'!$C$108:$C$110</c:f>
              <c:strCache>
                <c:ptCount val="0"/>
              </c:strCache>
            </c:strRef>
          </c:cat>
          <c:val>
            <c:numRef>
              <c:f>'Summary'!$E$108:$E$110</c:f>
              <c:numCache>
                <c:formatCode>#,##0.0;(#,##0.0);"–"</c:formatCode>
                <c:ptCount val="0"/>
              </c:numCache>
            </c:numRef>
          </c:val>
        </c:ser>
        <c:ser>
          <c:idx val="2"/>
          <c:order val="2"/>
          <c:tx>
            <c:v>Cost</c:v>
          </c:tx>
          <c:spPr>
            <a:solidFill xmlns:a="http://schemas.openxmlformats.org/drawingml/2006/main">
              <a:srgbClr val="17324D"/>
            </a:solidFill>
          </c:spPr>
          <c:invertIfNegative val="0"/>
          <c:cat>
            <c:strRef>
              <c:f>'Summary'!$C$108:$C$110</c:f>
              <c:strCache>
                <c:ptCount val="0"/>
              </c:strCache>
            </c:strRef>
          </c:cat>
          <c:val>
            <c:numRef>
              <c:f>'Summary'!$F$108:$F$110</c:f>
              <c:numCache>
                <c:formatCode>#,##0.0;(#,##0.0);"–"</c:formatCode>
                <c:ptCount val="0"/>
              </c:numCache>
            </c:numRef>
          </c:val>
        </c:ser>
        <c:gapWidth val="12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32</xdr:row>
      <xdr:rowOff>0</xdr:rowOff>
    </xdr:from>
    <xdr:to>
      <xdr:col>18</xdr:col>
      <xdr:colOff>0</xdr:colOff>
      <xdr:row>51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03e6725fb245d2"/>
        </a:graphicData>
      </a:graphic>
    </xdr:graphicFrame>
    <xdr:clientData/>
  </xdr:twoCellAnchor>
  <xdr:twoCellAnchor>
    <xdr:from>
      <xdr:col>8</xdr:col>
      <xdr:colOff>0</xdr:colOff>
      <xdr:row>53</xdr:row>
      <xdr:rowOff>0</xdr:rowOff>
    </xdr:from>
    <xdr:to>
      <xdr:col>18</xdr:col>
      <xdr:colOff>0</xdr:colOff>
      <xdr:row>72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c4c6f9721b4881"/>
        </a:graphicData>
      </a:graphic>
    </xdr:graphicFrame>
    <xdr:clientData/>
  </xdr:twoCellAnchor>
  <xdr:twoCellAnchor>
    <xdr:from>
      <xdr:col>8</xdr:col>
      <xdr:colOff>0</xdr:colOff>
      <xdr:row>74</xdr:row>
      <xdr:rowOff>0</xdr:rowOff>
    </xdr:from>
    <xdr:to>
      <xdr:col>18</xdr:col>
      <xdr:colOff>0</xdr:colOff>
      <xdr:row>93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cb28bea5f24466"/>
        </a:graphicData>
      </a:graphic>
    </xdr:graphicFrame>
    <xdr:clientData/>
  </xdr:twoCellAnchor>
  <xdr:twoCellAnchor>
    <xdr:from>
      <xdr:col>8</xdr:col>
      <xdr:colOff>0</xdr:colOff>
      <xdr:row>95</xdr:row>
      <xdr:rowOff>0</xdr:rowOff>
    </xdr:from>
    <xdr:to>
      <xdr:col>18</xdr:col>
      <xdr:colOff>0</xdr:colOff>
      <xdr:row>114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8099fe2e0444d8"/>
        </a:graphicData>
      </a:graphic>
    </xdr:graphicFrame>
    <xdr:clientData/>
  </xdr:twoCellAnchor>
  <xdr:twoCellAnchor>
    <xdr:from>
      <xdr:col>8</xdr:col>
      <xdr:colOff>0</xdr:colOff>
      <xdr:row>116</xdr:row>
      <xdr:rowOff>0</xdr:rowOff>
    </xdr:from>
    <xdr:to>
      <xdr:col>18</xdr:col>
      <xdr:colOff>0</xdr:colOff>
      <xdr:row>135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b78377e97f48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c25d827d4b419b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3" t="str">
        <x:v>AST master financial model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1" t="str">
        <x:v>USD millions. Forecast origin: 31 December 2023. Scenarios are unweighted analyst assumptions.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 ht="21" customHeight="1">
      <x:c r="A4" s="1"/>
      <x:c r="B4" s="1"/>
      <x:c r="C4" s="1" t="str">
        <x:v>Completed: base plus three adverse cases. All case tabs and comparisons recalculate from shared assumptions.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21" customHeight="1">
      <x:c r="A6" s="1"/>
      <x:c r="B6" s="1"/>
      <x:c r="C6" s="1"/>
      <x:c r="D6" s="57" t="str">
        <x:v>2024 base</x:v>
      </x:c>
      <x:c r="E6" s="57" t="str">
        <x:v>2024 policy</x:v>
      </x:c>
      <x:c r="F6" s="57" t="str">
        <x:v>2024 costs</x:v>
      </x:c>
      <x:c r="G6" s="57" t="str">
        <x:v>2024 demand</x:v>
      </x:c>
      <x:c r="H6" s="57" t="str">
        <x:v>2025 base</x:v>
      </x:c>
      <x:c r="I6" s="57" t="str">
        <x:v>2025 policy</x:v>
      </x:c>
      <x:c r="J6" s="57" t="str">
        <x:v>2025 costs</x:v>
      </x:c>
      <x:c r="K6" s="57" t="str">
        <x:v>2025 demand</x:v>
      </x:c>
      <x:c r="L6" s="57" t="str">
        <x:v>2026 base</x:v>
      </x:c>
      <x:c r="M6" s="57" t="str">
        <x:v>2026 policy</x:v>
      </x:c>
      <x:c r="N6" s="57" t="str">
        <x:v>2026 costs</x:v>
      </x:c>
      <x:c r="O6" s="57" t="str">
        <x:v>2026 demand</x:v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ht="21" customHeight="1">
      <x:c r="A7" s="1"/>
      <x:c r="B7" s="1"/>
      <x:c r="C7" s="24" t="str">
        <x:v>Revenue</x:v>
      </x:c>
      <x:c r="D7" s="30" t="n">
        <x:f>SUM('Base Case'!P10:S10)</x:f>
        <x:v>1045</x:v>
      </x:c>
      <x:c r="E7" s="30" t="n">
        <x:f>SUM('Scenario 1 Policy'!P10:S10)</x:f>
        <x:v>921.6899999999999</x:v>
      </x:c>
      <x:c r="F7" s="30" t="n">
        <x:f>SUM('Scenario 2 Costs'!P10:S10)</x:f>
        <x:v>1070.08</x:v>
      </x:c>
      <x:c r="G7" s="30" t="n">
        <x:f>SUM('Scenario 3 Demand'!P10:S10)</x:f>
        <x:v>810.9200000000001</x:v>
      </x:c>
      <x:c r="H7" s="30" t="n">
        <x:f>SUM('Base Case'!T10:W10)</x:f>
        <x:v>1139.0500000000002</x:v>
      </x:c>
      <x:c r="I7" s="30" t="n">
        <x:f>SUM('Scenario 1 Policy'!T10:W10)</x:f>
        <x:v>1004.6421000000001</x:v>
      </x:c>
      <x:c r="J7" s="30" t="n">
        <x:f>SUM('Scenario 2 Costs'!T10:W10)</x:f>
        <x:v>1166.3872000000001</x:v>
      </x:c>
      <x:c r="K7" s="30" t="n">
        <x:f>SUM('Scenario 3 Demand'!T10:W10)</x:f>
        <x:v>1009.7678250000001</x:v>
      </x:c>
      <x:c r="L7" s="30" t="n">
        <x:f>SUM('Base Case'!X10:AA10)</x:f>
        <x:v>1230.1740000000002</x:v>
      </x:c>
      <x:c r="M7" s="30" t="n">
        <x:f>SUM('Scenario 1 Policy'!X10:AA10)</x:f>
        <x:v>1085.013468</x:v>
      </x:c>
      <x:c r="N7" s="30" t="n">
        <x:f>SUM('Scenario 2 Costs'!X10:AA10)</x:f>
        <x:v>1259.698176</x:v>
      </x:c>
      <x:c r="O7" s="30" t="n">
        <x:f>SUM('Scenario 3 Demand'!X10:AA10)</x:f>
        <x:v>1230.1740000000002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1" customHeight="1">
      <x:c r="A8" s="1"/>
      <x:c r="B8" s="1"/>
      <x:c r="C8" s="24" t="str">
        <x:v>Operating income</x:v>
      </x:c>
      <x:c r="D8" s="30" t="n">
        <x:f>SUM('Base Case'!P16:S16)</x:f>
        <x:v>198.00000000000003</x:v>
      </x:c>
      <x:c r="E8" s="30" t="n">
        <x:f>SUM('Scenario 1 Policy'!P16:S16)</x:f>
        <x:v>142.03925875000004</x:v>
      </x:c>
      <x:c r="F8" s="30" t="n">
        <x:f>SUM('Scenario 2 Costs'!P16:S16)</x:f>
        <x:v>160.38000000000005</x:v>
      </x:c>
      <x:c r="G8" s="30" t="n">
        <x:f>SUM('Scenario 3 Demand'!P16:S16)</x:f>
        <x:v>98.61851750000008</x:v>
      </x:c>
      <x:c r="H8" s="30" t="n">
        <x:f>SUM('Base Case'!T16:W16)</x:f>
        <x:v>215.8200000000001</x:v>
      </x:c>
      <x:c r="I8" s="30" t="n">
        <x:f>SUM('Scenario 1 Policy'!T16:W16)</x:f>
        <x:v>154.67129203750017</x:v>
      </x:c>
      <x:c r="J8" s="30" t="n">
        <x:f>SUM('Scenario 2 Costs'!T16:W16)</x:f>
        <x:v>174.81420000000008</x:v>
      </x:c>
      <x:c r="K8" s="30" t="n">
        <x:f>SUM('Scenario 3 Demand'!T16:W16)</x:f>
        <x:v>159.79701703750015</x:v>
      </x:c>
      <x:c r="L8" s="30" t="n">
        <x:f>SUM('Base Case'!X16:AA16)</x:f>
        <x:v>233.08560000000008</x:v>
      </x:c>
      <x:c r="M8" s="30" t="n">
        <x:f>SUM('Scenario 1 Policy'!X16:AA16)</x:f>
        <x:v>166.87236040050004</x:v>
      </x:c>
      <x:c r="N8" s="30" t="n">
        <x:f>SUM('Scenario 2 Costs'!X16:AA16)</x:f>
        <x:v>188.7993360000001</x:v>
      </x:c>
      <x:c r="O8" s="30" t="n">
        <x:f>SUM('Scenario 3 Demand'!X16:AA16)</x:f>
        <x:v>233.08560000000008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1" customHeight="1">
      <x:c r="A9" s="1"/>
      <x:c r="B9" s="1"/>
      <x:c r="C9" s="41" t="str">
        <x:v>Operating margin</x:v>
      </x:c>
      <x:c r="D9" s="42" t="n">
        <x:f>D8/D7</x:f>
        <x:v>0.18947368421052635</x:v>
      </x:c>
      <x:c r="E9" s="42" t="n">
        <x:f>E8/E7</x:f>
        <x:v>0.15410741002940256</x:v>
      </x:c>
      <x:c r="F9" s="42" t="n">
        <x:f>F8/F7</x:f>
        <x:v>0.14987664473684217</x:v>
      </x:c>
      <x:c r="G9" s="42" t="n">
        <x:f>G8/G7</x:f>
        <x:v>0.12161312768213889</x:v>
      </x:c>
      <x:c r="H9" s="42" t="n">
        <x:f>H8/H7</x:f>
        <x:v>0.18947368421052638</x:v>
      </x:c>
      <x:c r="I9" s="42" t="n">
        <x:f>I8/I7</x:f>
        <x:v>0.15395661005795014</x:v>
      </x:c>
      <x:c r="J9" s="42" t="n">
        <x:f>J8/J7</x:f>
        <x:v>0.14987664473684217</x:v>
      </x:c>
      <x:c r="K9" s="42" t="n">
        <x:f>K8/K7</x:f>
        <x:v>0.15825124655511788</x:v>
      </x:c>
      <x:c r="L9" s="42" t="n">
        <x:f>L8/L7</x:f>
        <x:v>0.18947368421052635</x:v>
      </x:c>
      <x:c r="M9" s="42" t="n">
        <x:f>M8/M7</x:f>
        <x:v>0.15379750143387164</x:v>
      </x:c>
      <x:c r="N9" s="42" t="n">
        <x:f>N8/N7</x:f>
        <x:v>0.14987664473684217</x:v>
      </x:c>
      <x:c r="O9" s="42" t="n">
        <x:f>O8/O7</x:f>
        <x:v>0.18947368421052635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1" customHeight="1">
      <x:c r="A10" s="1"/>
      <x:c r="B10" s="1"/>
      <x:c r="C10" s="24" t="str">
        <x:v>Net income</x:v>
      </x:c>
      <x:c r="D10" s="30" t="n">
        <x:f>SUM('Base Case'!P20:S20)</x:f>
        <x:v>134.76760563380284</x:v>
      </x:c>
      <x:c r="E10" s="30" t="n">
        <x:f>SUM('Scenario 1 Policy'!P20:S20)</x:f>
        <x:v>92.79704969630285</x:v>
      </x:c>
      <x:c r="F10" s="30" t="n">
        <x:f>SUM('Scenario 2 Costs'!P20:S20)</x:f>
        <x:v>106.55260563380287</x:v>
      </x:c>
      <x:c r="G10" s="30" t="n">
        <x:f>SUM('Scenario 3 Demand'!P20:S20)</x:f>
        <x:v>60.231493758802884</x:v>
      </x:c>
      <x:c r="H10" s="30" t="n">
        <x:f>SUM('Base Case'!T20:W20)</x:f>
        <x:v>150.2452816901409</x:v>
      </x:c>
      <x:c r="I10" s="30" t="n">
        <x:f>SUM('Scenario 1 Policy'!T20:W20)</x:f>
        <x:v>104.38375071826596</x:v>
      </x:c>
      <x:c r="J10" s="30" t="n">
        <x:f>SUM('Scenario 2 Costs'!T20:W20)</x:f>
        <x:v>119.49093169014091</x:v>
      </x:c>
      <x:c r="K10" s="30" t="n">
        <x:f>SUM('Scenario 3 Demand'!T20:W20)</x:f>
        <x:v>108.22804446826595</x:v>
      </x:c>
      <x:c r="L10" s="30" t="n">
        <x:f>SUM('Base Case'!X20:AA20)</x:f>
        <x:v>165.30715774647894</x:v>
      </x:c>
      <x:c r="M10" s="30" t="n">
        <x:f>SUM('Scenario 1 Policy'!X20:AA20)</x:f>
        <x:v>115.64722804685388</x:v>
      </x:c>
      <x:c r="N10" s="30" t="n">
        <x:f>SUM('Scenario 2 Costs'!X20:AA20)</x:f>
        <x:v>132.09245974647894</x:v>
      </x:c>
      <x:c r="O10" s="30" t="n">
        <x:f>SUM('Scenario 3 Demand'!X20:AA20)</x:f>
        <x:v>165.3071577464789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1" customHeight="1">
      <x:c r="A11" s="1"/>
      <x:c r="B11" s="1"/>
      <x:c r="C11" s="24" t="str">
        <x:v>Operating cash flow</x:v>
      </x:c>
      <x:c r="D11" s="30" t="n">
        <x:f>SUM('Base Case'!P46:S46)</x:f>
        <x:v>170.5454003868893</x:v>
      </x:c>
      <x:c r="E11" s="30" t="n">
        <x:f>SUM('Scenario 1 Policy'!P46:S46)</x:f>
        <x:v>126.71423327118211</x:v>
      </x:c>
      <x:c r="F11" s="30" t="n">
        <x:f>SUM('Scenario 2 Costs'!P46:S46)</x:f>
        <x:v>98.1438712671899</x:v>
      </x:c>
      <x:c r="G11" s="30" t="n">
        <x:f>SUM('Scenario 3 Demand'!P46:S46)</x:f>
        <x:v>89.81921712165851</x:v>
      </x:c>
      <x:c r="H11" s="30" t="n">
        <x:f>SUM('Base Case'!T46:W46)</x:f>
        <x:v>202.839991551252</x:v>
      </x:c>
      <x:c r="I11" s="30" t="n">
        <x:f>SUM('Scenario 1 Policy'!T46:W46)</x:f>
        <x:v>156.81100557333838</x:v>
      </x:c>
      <x:c r="J11" s="30" t="n">
        <x:f>SUM('Scenario 2 Costs'!T46:W46)</x:f>
        <x:v>168.10885393047903</x:v>
      </x:c>
      <x:c r="K11" s="30" t="n">
        <x:f>SUM('Scenario 3 Demand'!T46:W46)</x:f>
        <x:v>159.45408423191995</x:v>
      </x:c>
      <x:c r="L11" s="30" t="n">
        <x:f>SUM('Base Case'!X46:AA46)</x:f>
        <x:v>230.45641353228143</x:v>
      </x:c>
      <x:c r="M11" s="30" t="n">
        <x:f>SUM('Scenario 1 Policy'!X46:AA46)</x:f>
        <x:v>180.6342385379167</x:v>
      </x:c>
      <x:c r="N11" s="30" t="n">
        <x:f>SUM('Scenario 2 Costs'!X46:AA46)</x:f>
        <x:v>193.38865019304353</x:v>
      </x:c>
      <x:c r="O11" s="30" t="n">
        <x:f>SUM('Scenario 3 Demand'!X46:AA46)</x:f>
        <x:v>238.01515501996928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21" customHeight="1">
      <x:c r="A12" s="1"/>
      <x:c r="B12" s="1"/>
      <x:c r="C12" s="1" t="str">
        <x:v>Capital expenditure</x:v>
      </x:c>
      <x:c r="D12" s="2" t="n">
        <x:f>SUM('Base Case'!P59:S59)</x:f>
        <x:v>104.5</x:v>
      </x:c>
      <x:c r="E12" s="2" t="n">
        <x:f>SUM('Scenario 1 Policy'!P59:S59)</x:f>
        <x:v>104.5</x:v>
      </x:c>
      <x:c r="F12" s="2" t="n">
        <x:f>SUM('Scenario 2 Costs'!P59:S59)</x:f>
        <x:v>104.5</x:v>
      </x:c>
      <x:c r="G12" s="2" t="n">
        <x:f>SUM('Scenario 3 Demand'!P59:S59)</x:f>
        <x:v>104.5</x:v>
      </x:c>
      <x:c r="H12" s="2" t="n">
        <x:f>SUM('Base Case'!T59:W59)</x:f>
        <x:v>113.90500000000002</x:v>
      </x:c>
      <x:c r="I12" s="2" t="n">
        <x:f>SUM('Scenario 1 Policy'!T59:W59)</x:f>
        <x:v>113.90500000000002</x:v>
      </x:c>
      <x:c r="J12" s="2" t="n">
        <x:f>SUM('Scenario 2 Costs'!T59:W59)</x:f>
        <x:v>113.90500000000002</x:v>
      </x:c>
      <x:c r="K12" s="2" t="n">
        <x:f>SUM('Scenario 3 Demand'!T59:W59)</x:f>
        <x:v>113.90500000000002</x:v>
      </x:c>
      <x:c r="L12" s="2" t="n">
        <x:f>SUM('Base Case'!X59:AA59)</x:f>
        <x:v>123.01740000000001</x:v>
      </x:c>
      <x:c r="M12" s="2" t="n">
        <x:f>SUM('Scenario 1 Policy'!X59:AA59)</x:f>
        <x:v>123.01740000000001</x:v>
      </x:c>
      <x:c r="N12" s="2" t="n">
        <x:f>SUM('Scenario 2 Costs'!X59:AA59)</x:f>
        <x:v>123.01740000000001</x:v>
      </x:c>
      <x:c r="O12" s="2" t="n">
        <x:f>SUM('Scenario 3 Demand'!X59:AA59)</x:f>
        <x:v>123.01740000000001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21" customHeight="1">
      <x:c r="A13" s="1"/>
      <x:c r="B13" s="1"/>
      <x:c r="C13" s="24" t="str">
        <x:v>Closing cash</x:v>
      </x:c>
      <x:c r="D13" s="30" t="n">
        <x:f>'Base Case'!S23</x:f>
        <x:v>226.84540038688928</x:v>
      </x:c>
      <x:c r="E13" s="30" t="n">
        <x:f>'Scenario 1 Policy'!S23</x:f>
        <x:v>183.0142332711821</x:v>
      </x:c>
      <x:c r="F13" s="30" t="n">
        <x:f>'Scenario 2 Costs'!S23</x:f>
        <x:v>154.44387126718988</x:v>
      </x:c>
      <x:c r="G13" s="30" t="n">
        <x:f>'Scenario 3 Demand'!S23</x:f>
        <x:v>146.11921712165852</x:v>
      </x:c>
      <x:c r="H13" s="30" t="n">
        <x:f>'Base Case'!W23</x:f>
        <x:v>265.78039193814124</x:v>
      </x:c>
      <x:c r="I13" s="30" t="n">
        <x:f>'Scenario 1 Policy'!W23</x:f>
        <x:v>175.92023884452044</x:v>
      </x:c>
      <x:c r="J13" s="30" t="n">
        <x:f>'Scenario 2 Costs'!W23</x:f>
        <x:v>158.6477251976689</x:v>
      </x:c>
      <x:c r="K13" s="30" t="n">
        <x:f>'Scenario 3 Demand'!W23</x:f>
        <x:v>141.66830135357847</x:v>
      </x:c>
      <x:c r="L13" s="30" t="n">
        <x:f>'Base Case'!AA23</x:f>
        <x:v>323.21940547042266</x:v>
      </x:c>
      <x:c r="M13" s="30" t="n">
        <x:f>'Scenario 1 Policy'!AA23</x:f>
        <x:v>183.5370773824371</x:v>
      </x:c>
      <x:c r="N13" s="30" t="n">
        <x:f>'Scenario 2 Costs'!AA23</x:f>
        <x:v>179.01897539071243</x:v>
      </x:c>
      <x:c r="O13" s="30" t="n">
        <x:f>'Scenario 3 Demand'!AA23</x:f>
        <x:v>206.66605637354775</x:v>
      </x:c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21" customHeight="1">
      <x:c r="A14" s="1"/>
      <x:c r="B14" s="1"/>
      <x:c r="C14" s="24" t="str">
        <x:v>Total debt</x:v>
      </x:c>
      <x:c r="D14" s="30" t="n">
        <x:f>'Base Case'!S66</x:f>
        <x:v>300</x:v>
      </x:c>
      <x:c r="E14" s="30" t="n">
        <x:f>'Scenario 1 Policy'!S66</x:f>
        <x:v>300</x:v>
      </x:c>
      <x:c r="F14" s="30" t="n">
        <x:f>'Scenario 2 Costs'!S66</x:f>
        <x:v>300</x:v>
      </x:c>
      <x:c r="G14" s="30" t="n">
        <x:f>'Scenario 3 Demand'!S66</x:f>
        <x:v>300</x:v>
      </x:c>
      <x:c r="H14" s="30" t="n">
        <x:f>'Base Case'!W66</x:f>
        <x:v>250</x:v>
      </x:c>
      <x:c r="I14" s="30" t="n">
        <x:f>'Scenario 1 Policy'!W66</x:f>
        <x:v>250</x:v>
      </x:c>
      <x:c r="J14" s="30" t="n">
        <x:f>'Scenario 2 Costs'!W66</x:f>
        <x:v>250</x:v>
      </x:c>
      <x:c r="K14" s="30" t="n">
        <x:f>'Scenario 3 Demand'!W66</x:f>
        <x:v>250</x:v>
      </x:c>
      <x:c r="L14" s="30" t="n">
        <x:f>'Base Case'!AA66</x:f>
        <x:v>200</x:v>
      </x:c>
      <x:c r="M14" s="30" t="n">
        <x:f>'Scenario 1 Policy'!AA66</x:f>
        <x:v>200</x:v>
      </x:c>
      <x:c r="N14" s="30" t="n">
        <x:f>'Scenario 2 Costs'!AA66</x:f>
        <x:v>200</x:v>
      </x:c>
      <x:c r="O14" s="30" t="n">
        <x:f>'Scenario 3 Demand'!AA66</x:f>
        <x:v>200</x:v>
      </x:c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21" customHeight="1">
      <x:c r="A15" s="1"/>
      <x:c r="B15" s="1"/>
      <x:c r="C15" s="24" t="str">
        <x:v>Net debt / (net cash)</x:v>
      </x:c>
      <x:c r="D15" s="30" t="n">
        <x:f>D14-D13</x:f>
        <x:v>73.15459961311072</x:v>
      </x:c>
      <x:c r="E15" s="30" t="n">
        <x:f>E14-E13</x:f>
        <x:v>116.98576672881791</x:v>
      </x:c>
      <x:c r="F15" s="30" t="n">
        <x:f>F14-F13</x:f>
        <x:v>145.55612873281012</x:v>
      </x:c>
      <x:c r="G15" s="30" t="n">
        <x:f>G14-G13</x:f>
        <x:v>153.88078287834148</x:v>
      </x:c>
      <x:c r="H15" s="30" t="n">
        <x:f>H14-H13</x:f>
        <x:v>-15.780391938141236</x:v>
      </x:c>
      <x:c r="I15" s="30" t="n">
        <x:f>I14-I13</x:f>
        <x:v>74.07976115547956</x:v>
      </x:c>
      <x:c r="J15" s="30" t="n">
        <x:f>J14-J13</x:f>
        <x:v>91.3522748023311</x:v>
      </x:c>
      <x:c r="K15" s="30" t="n">
        <x:f>K14-K13</x:f>
        <x:v>108.33169864642153</x:v>
      </x:c>
      <x:c r="L15" s="30" t="n">
        <x:f>L14-L13</x:f>
        <x:v>-123.21940547042266</x:v>
      </x:c>
      <x:c r="M15" s="30" t="n">
        <x:f>M14-M13</x:f>
        <x:v>16.462922617562896</x:v>
      </x:c>
      <x:c r="N15" s="30" t="n">
        <x:f>N14-N13</x:f>
        <x:v>20.981024609287573</x:v>
      </x:c>
      <x:c r="O15" s="30" t="n">
        <x:f>O14-O13</x:f>
        <x:v>-6.666056373547747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21" customHeight="1">
      <x:c r="A16" s="1"/>
      <x:c r="B16" s="1"/>
      <x:c r="C16" s="1" t="str">
        <x:v>Operating income / interest</x:v>
      </x:c>
      <x:c r="D16" s="43" t="n">
        <x:f>D8/SUM('Base Case'!P17:S17)</x:f>
        <x:v>10.813846153846153</x:v>
      </x:c>
      <x:c r="E16" s="43" t="n">
        <x:f>E8/SUM('Scenario 1 Policy'!P17:S17)</x:f>
        <x:v>7.757528747115386</x:v>
      </x:c>
      <x:c r="F16" s="43" t="n">
        <x:f>F8/SUM('Scenario 2 Costs'!P17:S17)</x:f>
        <x:v>8.759215384615386</x:v>
      </x:c>
      <x:c r="G16" s="43" t="n">
        <x:f>G8/SUM('Scenario 3 Demand'!P17:S17)</x:f>
        <x:v>5.386088263461542</x:v>
      </x:c>
      <x:c r="H16" s="43" t="n">
        <x:f>H8/SUM('Base Case'!T17:W17)</x:f>
        <x:v>13.930200000000005</x:v>
      </x:c>
      <x:c r="I16" s="43" t="n">
        <x:f>I8/SUM('Scenario 1 Policy'!T17:W17)</x:f>
        <x:v>9.98332884969319</x:v>
      </x:c>
      <x:c r="J16" s="43" t="n">
        <x:f>J8/SUM('Scenario 2 Costs'!T17:W17)</x:f>
        <x:v>11.283462000000004</x:v>
      </x:c>
      <x:c r="K16" s="43" t="n">
        <x:f>K8/SUM('Scenario 3 Demand'!T17:W17)</x:f>
        <x:v>10.31417109969319</x:v>
      </x:c>
      <x:c r="L16" s="43" t="n">
        <x:f>L8/SUM('Base Case'!X17:AA17)</x:f>
        <x:v>18.387864000000008</x:v>
      </x:c>
      <x:c r="M16" s="43" t="n">
        <x:f>M8/SUM('Scenario 1 Policy'!X17:AA17)</x:f>
        <x:v>13.16437509826167</x:v>
      </x:c>
      <x:c r="N16" s="43" t="n">
        <x:f>N8/SUM('Scenario 2 Costs'!X17:AA17)</x:f>
        <x:v>14.894169840000009</x:v>
      </x:c>
      <x:c r="O16" s="43" t="n">
        <x:f>O8/SUM('Scenario 3 Demand'!X17:AA17)</x:f>
        <x:v>18.387864000000008</x:v>
      </x:c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21" customHeight="1">
      <x:c r="A17" s="1"/>
      <x:c r="B17" s="1"/>
      <x:c r="C17" s="24" t="str">
        <x:v>Minimum quarter-end cash</x:v>
      </x:c>
      <x:c r="D17" s="30" t="n">
        <x:f>MIN('Base Case'!P23:S23)</x:f>
        <x:v>226.84540038688928</x:v>
      </x:c>
      <x:c r="E17" s="30" t="n">
        <x:f>MIN('Scenario 1 Policy'!P23:S23)</x:f>
        <x:v>183.0142332711821</x:v>
      </x:c>
      <x:c r="F17" s="30" t="n">
        <x:f>MIN('Scenario 2 Costs'!P23:S23)</x:f>
        <x:v>154.44387126718988</x:v>
      </x:c>
      <x:c r="G17" s="30" t="n">
        <x:f>MIN('Scenario 3 Demand'!P23:S23)</x:f>
        <x:v>146.11921712165852</x:v>
      </x:c>
      <x:c r="H17" s="30" t="n">
        <x:f>MIN('Base Case'!T23:W23)</x:f>
        <x:v>265.78039193814124</x:v>
      </x:c>
      <x:c r="I17" s="30" t="n">
        <x:f>MIN('Scenario 1 Policy'!T23:W23)</x:f>
        <x:v>175.92023884452044</x:v>
      </x:c>
      <x:c r="J17" s="30" t="n">
        <x:f>MIN('Scenario 2 Costs'!T23:W23)</x:f>
        <x:v>158.6477251976689</x:v>
      </x:c>
      <x:c r="K17" s="30" t="n">
        <x:f>MIN('Scenario 3 Demand'!T23:W23)</x:f>
        <x:v>141.66830135357847</x:v>
      </x:c>
      <x:c r="L17" s="30" t="n">
        <x:f>MIN('Base Case'!X23:AA23)</x:f>
        <x:v>323.21940547042266</x:v>
      </x:c>
      <x:c r="M17" s="30" t="n">
        <x:f>MIN('Scenario 1 Policy'!X23:AA23)</x:f>
        <x:v>183.5370773824371</x:v>
      </x:c>
      <x:c r="N17" s="30" t="n">
        <x:f>MIN('Scenario 2 Costs'!X23:AA23)</x:f>
        <x:v>179.01897539071243</x:v>
      </x:c>
      <x:c r="O17" s="30" t="n">
        <x:f>MIN('Scenario 3 Demand'!X23:AA23)</x:f>
        <x:v>206.66605637354775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21" customHeight="1">
      <x:c r="A18" s="1"/>
      <x:c r="B18" s="1"/>
      <x:c r="C18" s="1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21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21" customHeight="1">
      <x:c r="A20" s="1"/>
      <x:c r="B20" s="1"/>
      <x:c r="C20" s="15" t="str">
        <x:v>Scenario 2 cost transmission</x:v>
      </x:c>
      <x:c r="D20" s="16"/>
      <x:c r="E20" s="16"/>
      <x:c r="F20" s="16"/>
      <x:c r="G20" s="16"/>
      <x:c r="H20" s="16"/>
      <x:c r="I20" s="16"/>
      <x:c r="J20" s="16"/>
      <x:c r="K20" s="16"/>
      <x:c r="L20" s="16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21" customHeight="1">
      <x:c r="A21" s="1"/>
      <x:c r="B21" s="1"/>
      <x:c r="C21" s="1"/>
      <x:c r="D21" s="40" t="n">
        <x:v>2024</x:v>
      </x:c>
      <x:c r="E21" s="40" t="n">
        <x:v>2025</x:v>
      </x:c>
      <x:c r="F21" s="40" t="n">
        <x:v>2026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A22" s="1"/>
      <x:c r="B22" s="1"/>
      <x:c r="C22" s="1" t="str">
        <x:v>Additional material cost</x:v>
      </x:c>
      <x:c r="D22" s="2" t="n">
        <x:f>SUM('Scenario 2 Costs'!P74:S74)</x:f>
        <x:v>62.699999999999996</x:v>
      </x:c>
      <x:c r="E22" s="2" t="n">
        <x:f>SUM('Scenario 2 Costs'!T74:W74)</x:f>
        <x:v>68.343</x:v>
      </x:c>
      <x:c r="F22" s="2" t="n">
        <x:f>SUM('Scenario 2 Costs'!X74:AA74)</x:f>
        <x:v>73.81044000000001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21" customHeight="1">
      <x:c r="A23" s="1"/>
      <x:c r="B23" s="1"/>
      <x:c r="C23" s="1" t="str">
        <x:v>Recovered through prices</x:v>
      </x:c>
      <x:c r="D23" s="2" t="n">
        <x:f>SUM('Scenario 2 Costs'!P75:S75)</x:f>
        <x:v>25.080000000000002</x:v>
      </x:c>
      <x:c r="E23" s="2" t="n">
        <x:f>SUM('Scenario 2 Costs'!T75:W75)</x:f>
        <x:v>27.337200000000003</x:v>
      </x:c>
      <x:c r="F23" s="2" t="n">
        <x:f>SUM('Scenario 2 Costs'!X75:AA75)</x:f>
        <x:v>29.524176000000008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21" customHeight="1">
      <x:c r="A24" s="1"/>
      <x:c r="B24" s="1"/>
      <x:c r="C24" s="1" t="str">
        <x:v>Unrecovered material cost</x:v>
      </x:c>
      <x:c r="D24" s="2" t="n">
        <x:f>D22-D23</x:f>
        <x:v>37.61999999999999</x:v>
      </x:c>
      <x:c r="E24" s="2" t="n">
        <x:f>E22-E23</x:f>
        <x:v>41.0058</x:v>
      </x:c>
      <x:c r="F24" s="2" t="n">
        <x:f>F22-F23</x:f>
        <x:v>44.286264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21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21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21" customHeight="1">
      <x:c r="A27" s="1"/>
      <x:c r="B27" s="1"/>
      <x:c r="C27" s="1" t="str">
        <x:v>Scenario 2 raises prices by 2.4%, but COGS by 10%, relative to base. Volumes remain unchanged.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21" customHeight="1">
      <x:c r="A28" s="1"/>
      <x:c r="B28" s="1"/>
      <x:c r="C28" s="1" t="str">
        <x:v>Inventory is valued at higher costs and held for 15 additional days; this uses cash before any mitigation.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21" customHeight="1">
      <x:c r="A29" s="1"/>
      <x:c r="B29" s="1"/>
      <x:c r="C29" s="1" t="str">
        <x:v>Quarter-end cash is positive under current assumptions; intra-quarter needs and covenant limits are unavailable.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1" customHeight="1">
      <x:c r="A30" s="1"/>
      <x:c r="B30" s="1"/>
      <x:c r="C30" s="1" t="str">
        <x:v>Historical depreciation detail and the fixed -0.2 opening equity difference remain unresolved.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21" customHeight="1">
      <x:c r="A31" s="1"/>
      <x:c r="B31" s="1"/>
      <x:c r="C31" s="1" t="str">
        <x:v>Demand returns to base operating conditions in 2026; cash can remain lower because earlier earnings were lost.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21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21" customHeight="1">
      <x:c r="A33" s="1"/>
      <x:c r="B33" s="1"/>
      <x:c r="C33" s="15" t="str">
        <x:v>Quarter-end cash across completed cases</x:v>
      </x:c>
      <x:c r="D33" s="16"/>
      <x:c r="E33" s="16"/>
      <x:c r="F33" s="16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21" customHeight="1">
      <x:c r="A35" s="1"/>
      <x:c r="B35" s="1"/>
      <x:c r="C35" s="59" t="str">
        <x:v>Quarter</x:v>
      </x:c>
      <x:c r="D35" s="61" t="str">
        <x:v>Base</x:v>
      </x:c>
      <x:c r="E35" s="61" t="str">
        <x:v>Policy shift</x:v>
      </x:c>
      <x:c r="F35" s="61" t="str">
        <x:v>Cost volatility</x:v>
      </x:c>
      <x:c r="G35" s="61" t="str">
        <x:v>Demand shift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 ht="21" customHeight="1">
      <x:c r="A36" s="1"/>
      <x:c r="B36" s="1"/>
      <x:c r="C36" s="1" t="str">
        <x:v>Q1:24</x:v>
      </x:c>
      <x:c r="D36" s="2" t="n">
        <x:f>'Base Case'!P23</x:f>
        <x:v>262.43637213989064</x:v>
      </x:c>
      <x:c r="E36" s="2" t="n">
        <x:f>'Scenario 1 Policy'!P23</x:f>
        <x:v>247.07247102897034</x:v>
      </x:c>
      <x:c r="F36" s="2" t="n">
        <x:f>'Scenario 2 Costs'!P23</x:f>
        <x:v>220.33060235967088</x:v>
      </x:c>
      <x:c r="G36" s="2" t="n">
        <x:f>'Scenario 3 Demand'!P23</x:f>
        <x:v>231.9318558154859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 ht="21" customHeight="1">
      <x:c r="A37" s="1"/>
      <x:c r="B37" s="1"/>
      <x:c r="C37" s="1" t="str">
        <x:v>Q2:24</x:v>
      </x:c>
      <x:c r="D37" s="2" t="n">
        <x:f>'Base Case'!Q23</x:f>
        <x:v>241.19178986783024</x:v>
      </x:c>
      <x:c r="E37" s="2" t="n">
        <x:f>'Scenario 1 Policy'!Q23</x:f>
        <x:v>220.75838042531848</x:v>
      </x:c>
      <x:c r="F37" s="2" t="n">
        <x:f>'Scenario 2 Costs'!Q23</x:f>
        <x:v>191.6870346759207</x:v>
      </x:c>
      <x:c r="G37" s="2" t="n">
        <x:f>'Scenario 3 Demand'!Q23</x:f>
        <x:v>202.5425237698748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 ht="21" customHeight="1">
      <x:c r="A38" s="1"/>
      <x:c r="B38" s="1"/>
      <x:c r="C38" s="1" t="str">
        <x:v>Q3:24</x:v>
      </x:c>
      <x:c r="D38" s="2" t="n">
        <x:f>'Base Case'!R23</x:f>
        <x:v>236.01291167840378</x:v>
      </x:c>
      <x:c r="E38" s="2" t="n">
        <x:f>'Scenario 1 Policy'!R23</x:f>
        <x:v>203.12659145421898</x:v>
      </x:c>
      <x:c r="F38" s="2" t="n">
        <x:f>'Scenario 2 Costs'!R23</x:f>
        <x:v>174.6407790697082</x:v>
      </x:c>
      <x:c r="G38" s="2" t="n">
        <x:f>'Scenario 3 Demand'!R23</x:f>
        <x:v>174.74876470829514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 ht="21" customHeight="1">
      <x:c r="A39" s="1"/>
      <x:c r="B39" s="1"/>
      <x:c r="C39" s="1" t="str">
        <x:v>Q4:24</x:v>
      </x:c>
      <x:c r="D39" s="2" t="n">
        <x:f>'Base Case'!S23</x:f>
        <x:v>226.84540038688928</x:v>
      </x:c>
      <x:c r="E39" s="2" t="n">
        <x:f>'Scenario 1 Policy'!S23</x:f>
        <x:v>183.0142332711821</x:v>
      </x:c>
      <x:c r="F39" s="2" t="n">
        <x:f>'Scenario 2 Costs'!S23</x:f>
        <x:v>154.44387126718988</x:v>
      </x:c>
      <x:c r="G39" s="2" t="n">
        <x:f>'Scenario 3 Demand'!S23</x:f>
        <x:v>146.11921712165852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A40" s="1"/>
      <x:c r="B40" s="1"/>
      <x:c r="C40" s="1" t="str">
        <x:v>Q1:25</x:v>
      </x:c>
      <x:c r="D40" s="2" t="n">
        <x:f>'Base Case'!T23</x:f>
        <x:v>292.642089967723</x:v>
      </x:c>
      <x:c r="E40" s="2" t="n">
        <x:f>'Scenario 1 Policy'!T23</x:f>
        <x:v>233.83067989532717</x:v>
      </x:c>
      <x:c r="F40" s="2" t="n">
        <x:f>'Scenario 2 Costs'!T23</x:f>
        <x:v>218.10272580105635</x:v>
      </x:c>
      <x:c r="G40" s="2" t="n">
        <x:f>'Scenario 3 Demand'!T23</x:f>
        <x:v>197.3935279786606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21" customHeight="1">
      <x:c r="A41" s="1"/>
      <x:c r="B41" s="1"/>
      <x:c r="C41" s="1" t="str">
        <x:v>Q2:25</x:v>
      </x:c>
      <x:c r="D41" s="2" t="n">
        <x:f>'Base Case'!U23</x:f>
        <x:v>274.9924283033527</x:v>
      </x:c>
      <x:c r="E41" s="2" t="n">
        <x:f>'Scenario 1 Policy'!U23</x:f>
        <x:v>210.69264357351497</x:v>
      </x:c>
      <x:c r="F41" s="2" t="n">
        <x:f>'Scenario 2 Costs'!U23</x:f>
        <x:v>192.81724514417135</x:v>
      </x:c>
      <x:c r="G41" s="2" t="n">
        <x:f>'Scenario 3 Demand'!U23</x:f>
        <x:v>175.2884160739928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 ht="21" customHeight="1">
      <x:c r="A42" s="1"/>
      <x:c r="B42" s="1"/>
      <x:c r="C42" s="1" t="str">
        <x:v>Q3:25</x:v>
      </x:c>
      <x:c r="D42" s="2" t="n">
        <x:f>'Base Case'!V23</x:f>
        <x:v>272.56615706279337</x:v>
      </x:c>
      <x:c r="E42" s="2" t="n">
        <x:f>'Scenario 1 Policy'!V23</x:f>
        <x:v>194.66429333093205</x:v>
      </x:c>
      <x:c r="F42" s="2" t="n">
        <x:f>'Scenario 2 Costs'!V23</x:f>
        <x:v>177.45553251931514</x:v>
      </x:c>
      <x:c r="G42" s="2" t="n">
        <x:f>'Scenario 3 Demand'!V23</x:f>
        <x:v>159.6924323635408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 ht="21" customHeight="1">
      <x:c r="A43" s="1"/>
      <x:c r="B43" s="1"/>
      <x:c r="C43" s="1" t="str">
        <x:v>Q4:25</x:v>
      </x:c>
      <x:c r="D43" s="2" t="n">
        <x:f>'Base Case'!W23</x:f>
        <x:v>265.78039193814124</x:v>
      </x:c>
      <x:c r="E43" s="2" t="n">
        <x:f>'Scenario 1 Policy'!W23</x:f>
        <x:v>175.92023884452044</x:v>
      </x:c>
      <x:c r="F43" s="2" t="n">
        <x:f>'Scenario 2 Costs'!W23</x:f>
        <x:v>158.6477251976689</x:v>
      </x:c>
      <x:c r="G43" s="2" t="n">
        <x:f>'Scenario 3 Demand'!W23</x:f>
        <x:v>141.66830135357847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 ht="21" customHeight="1">
      <x:c r="A44" s="1"/>
      <x:c r="B44" s="1"/>
      <x:c r="C44" s="1" t="str">
        <x:v>Q1:26</x:v>
      </x:c>
      <x:c r="D44" s="2" t="n">
        <x:f>'Base Case'!X23</x:f>
        <x:v>342.6483192719484</x:v>
      </x:c>
      <x:c r="E44" s="2" t="n">
        <x:f>'Scenario 1 Policy'!X23</x:f>
        <x:v>236.59574083438594</x:v>
      </x:c>
      <x:c r="F44" s="2" t="n">
        <x:f>'Scenario 2 Costs'!X23</x:f>
        <x:v>233.6486559719484</x:v>
      </x:c>
      <x:c r="G44" s="2" t="n">
        <x:f>'Scenario 3 Demand'!X23</x:f>
        <x:v>226.0949701750735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 ht="21" customHeight="1">
      <x:c r="A45" s="1"/>
      <x:c r="B45" s="1"/>
      <x:c r="C45" s="1" t="str">
        <x:v>Q2:26</x:v>
      </x:c>
      <x:c r="D45" s="2" t="n">
        <x:f>'Base Case'!Y23</x:f>
        <x:v>326.7911547448511</x:v>
      </x:c>
      <x:c r="E45" s="2" t="n">
        <x:f>'Scenario 1 Policy'!Y23</x:f>
        <x:v>214.7787626147513</x:v>
      </x:c>
      <x:c r="F45" s="2" t="n">
        <x:f>'Scenario 2 Costs'!Y23</x:f>
        <x:v>209.5448069329352</x:v>
      </x:c>
      <x:c r="G45" s="2" t="n">
        <x:f>'Scenario 3 Demand'!Y23</x:f>
        <x:v>210.2378056479762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 ht="21" customHeight="1">
      <x:c r="A46" s="1"/>
      <x:c r="B46" s="1"/>
      <x:c r="C46" s="1" t="str">
        <x:v>Q3:26</x:v>
      </x:c>
      <x:c r="D46" s="2" t="n">
        <x:f>'Base Case'!Z23</x:f>
        <x:v>327.36468849518786</x:v>
      </x:c>
      <x:c r="E46" s="2" t="n">
        <x:f>'Scenario 1 Policy'!Z23</x:f>
        <x:v>200.62968198040252</x:v>
      </x:c>
      <x:c r="F46" s="2" t="n">
        <x:f>'Scenario 2 Costs'!Z23</x:f>
        <x:v>196.14806398823134</x:v>
      </x:c>
      <x:c r="G46" s="2" t="n">
        <x:f>'Scenario 3 Demand'!Z23</x:f>
        <x:v>210.81133939831295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 ht="21" customHeight="1">
      <x:c r="A47" s="1"/>
      <x:c r="B47" s="1"/>
      <x:c r="C47" s="1" t="str">
        <x:v>Q4:26</x:v>
      </x:c>
      <x:c r="D47" s="2" t="n">
        <x:f>'Base Case'!AA23</x:f>
        <x:v>323.21940547042266</x:v>
      </x:c>
      <x:c r="E47" s="2" t="n">
        <x:f>'Scenario 1 Policy'!AA23</x:f>
        <x:v>183.5370773824371</x:v>
      </x:c>
      <x:c r="F47" s="2" t="n">
        <x:f>'Scenario 2 Costs'!AA23</x:f>
        <x:v>179.01897539071243</x:v>
      </x:c>
      <x:c r="G47" s="2" t="n">
        <x:f>'Scenario 3 Demand'!AA23</x:f>
        <x:v>206.66605637354775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21" customHeight="1">
      <x:c r="A54" s="1"/>
      <x:c r="B54" s="1"/>
      <x:c r="C54" s="55" t="str">
        <x:v>Annual operating performance</x:v>
      </x:c>
      <x:c r="D54" s="56"/>
      <x:c r="E54" s="56"/>
      <x:c r="F54" s="56"/>
      <x:c r="G54" s="56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21" customHeight="1">
      <x:c r="A56" s="1"/>
      <x:c r="B56" s="1"/>
      <x:c r="C56" s="59" t="str">
        <x:v>Year</x:v>
      </x:c>
      <x:c r="D56" s="61" t="str">
        <x:v>Base</x:v>
      </x:c>
      <x:c r="E56" s="61" t="str">
        <x:v>Policy shift</x:v>
      </x:c>
      <x:c r="F56" s="61" t="str">
        <x:v>Cost volatility</x:v>
      </x:c>
      <x:c r="G56" s="61" t="str">
        <x:v>Temporary demand</x:v>
      </x:c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A57" s="1"/>
      <x:c r="B57" s="1"/>
      <x:c r="C57" s="17" t="str">
        <x:v>2024</x:v>
      </x:c>
      <x:c r="D57" s="2" t="n">
        <x:f>SUM('Base Case'!P16:S16)</x:f>
        <x:v>198.00000000000003</x:v>
      </x:c>
      <x:c r="E57" s="2" t="n">
        <x:f>SUM('Scenario 1 Policy'!P16:S16)</x:f>
        <x:v>142.03925875000004</x:v>
      </x:c>
      <x:c r="F57" s="2" t="n">
        <x:f>SUM('Scenario 2 Costs'!P16:S16)</x:f>
        <x:v>160.38000000000005</x:v>
      </x:c>
      <x:c r="G57" s="2" t="n">
        <x:f>SUM('Scenario 3 Demand'!P16:S16)</x:f>
        <x:v>98.61851750000008</x:v>
      </x:c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21" customHeight="1">
      <x:c r="A58" s="1"/>
      <x:c r="B58" s="1"/>
      <x:c r="C58" s="17" t="str">
        <x:v>2025</x:v>
      </x:c>
      <x:c r="D58" s="2" t="n">
        <x:f>SUM('Base Case'!T16:W16)</x:f>
        <x:v>215.8200000000001</x:v>
      </x:c>
      <x:c r="E58" s="2" t="n">
        <x:f>SUM('Scenario 1 Policy'!T16:W16)</x:f>
        <x:v>154.67129203750017</x:v>
      </x:c>
      <x:c r="F58" s="2" t="n">
        <x:f>SUM('Scenario 2 Costs'!T16:W16)</x:f>
        <x:v>174.81420000000008</x:v>
      </x:c>
      <x:c r="G58" s="2" t="n">
        <x:f>SUM('Scenario 3 Demand'!T16:W16)</x:f>
        <x:v>159.79701703750015</x:v>
      </x:c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21" customHeight="1">
      <x:c r="A59" s="1"/>
      <x:c r="B59" s="1"/>
      <x:c r="C59" s="17" t="str">
        <x:v>2026</x:v>
      </x:c>
      <x:c r="D59" s="2" t="n">
        <x:f>SUM('Base Case'!X16:AA16)</x:f>
        <x:v>233.08560000000008</x:v>
      </x:c>
      <x:c r="E59" s="2" t="n">
        <x:f>SUM('Scenario 1 Policy'!X16:AA16)</x:f>
        <x:v>166.87236040050004</x:v>
      </x:c>
      <x:c r="F59" s="2" t="n">
        <x:f>SUM('Scenario 2 Costs'!X16:AA16)</x:f>
        <x:v>188.7993360000001</x:v>
      </x:c>
      <x:c r="G59" s="2" t="n">
        <x:f>SUM('Scenario 3 Demand'!X16:AA16)</x:f>
        <x:v>233.08560000000008</x:v>
      </x:c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21" customHeight="1">
      <x:c r="A63" s="1"/>
      <x:c r="B63" s="1"/>
      <x:c r="C63" s="59" t="str">
        <x:v>Year</x:v>
      </x:c>
      <x:c r="D63" s="61" t="str">
        <x:v>Base margin</x:v>
      </x:c>
      <x:c r="E63" s="61" t="str">
        <x:v>Policy margin</x:v>
      </x:c>
      <x:c r="F63" s="61" t="str">
        <x:v>Cost margin</x:v>
      </x:c>
      <x:c r="G63" s="61" t="str">
        <x:v>Demand margin</x:v>
      </x:c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A64" s="1"/>
      <x:c r="B64" s="1"/>
      <x:c r="C64" s="17" t="str">
        <x:v>2024</x:v>
      </x:c>
      <x:c r="D64" s="33" t="n">
        <x:f>D57/SUM('Base Case'!P10:S10)</x:f>
        <x:v>0.18947368421052635</x:v>
      </x:c>
      <x:c r="E64" s="33" t="n">
        <x:f>E57/SUM('Scenario 1 Policy'!P10:S10)</x:f>
        <x:v>0.15410741002940256</x:v>
      </x:c>
      <x:c r="F64" s="33" t="n">
        <x:f>F57/SUM('Scenario 2 Costs'!P10:S10)</x:f>
        <x:v>0.14987664473684217</x:v>
      </x:c>
      <x:c r="G64" s="33" t="n">
        <x:f>G57/SUM('Scenario 3 Demand'!P10:S10)</x:f>
        <x:v>0.12161312768213889</x:v>
      </x:c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A65" s="1"/>
      <x:c r="B65" s="1"/>
      <x:c r="C65" s="17" t="str">
        <x:v>2025</x:v>
      </x:c>
      <x:c r="D65" s="33" t="n">
        <x:f>D58/SUM('Base Case'!T10:W10)</x:f>
        <x:v>0.18947368421052638</x:v>
      </x:c>
      <x:c r="E65" s="33" t="n">
        <x:f>E58/SUM('Scenario 1 Policy'!T10:W10)</x:f>
        <x:v>0.15395661005795014</x:v>
      </x:c>
      <x:c r="F65" s="33" t="n">
        <x:f>F58/SUM('Scenario 2 Costs'!T10:W10)</x:f>
        <x:v>0.14987664473684217</x:v>
      </x:c>
      <x:c r="G65" s="33" t="n">
        <x:f>G58/SUM('Scenario 3 Demand'!T10:W10)</x:f>
        <x:v>0.15825124655511788</x:v>
      </x:c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21" customHeight="1">
      <x:c r="A66" s="1"/>
      <x:c r="B66" s="1"/>
      <x:c r="C66" s="17" t="str">
        <x:v>2026</x:v>
      </x:c>
      <x:c r="D66" s="33" t="n">
        <x:f>D59/SUM('Base Case'!X10:AA10)</x:f>
        <x:v>0.18947368421052635</x:v>
      </x:c>
      <x:c r="E66" s="33" t="n">
        <x:f>E59/SUM('Scenario 1 Policy'!X10:AA10)</x:f>
        <x:v>0.15379750143387164</x:v>
      </x:c>
      <x:c r="F66" s="33" t="n">
        <x:f>F59/SUM('Scenario 2 Costs'!X10:AA10)</x:f>
        <x:v>0.14987664473684217</x:v>
      </x:c>
      <x:c r="G66" s="33" t="n">
        <x:f>G59/SUM('Scenario 3 Demand'!X10:AA10)</x:f>
        <x:v>0.18947368421052635</x:v>
      </x:c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21" customHeight="1">
      <x:c r="A69" s="1"/>
      <x:c r="B69" s="1"/>
      <x:c r="C69" s="1" t="str">
        <x:v>Demand recovery is visible in profit and margin by 2026; the cash chart retains the cumulative earnings effect.</x:v>
      </x:c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A75" s="1"/>
      <x:c r="B75" s="1"/>
      <x:c r="C75" s="55" t="str">
        <x:v>2024 cost scenario cash bridge</x:v>
      </x:c>
      <x:c r="D75" s="56"/>
      <x:c r="E75" s="56"/>
      <x:c r="F75" s="56"/>
      <x:c r="G75" s="56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A77" s="1"/>
      <x:c r="B77" s="1"/>
      <x:c r="C77" s="59" t="str">
        <x:v>Component</x:v>
      </x:c>
      <x:c r="D77" s="61" t="str">
        <x:v>Cash effect</x:v>
      </x:c>
      <x:c r="E77" s="61" t="str">
        <x:v>Opening level</x:v>
      </x:c>
      <x:c r="F77" s="61" t="str">
        <x:v>Closing level</x:v>
      </x:c>
      <x:c r="G77" s="61" t="str">
        <x:v>Chart offset</x:v>
      </x:c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A78" s="1"/>
      <x:c r="B78" s="1"/>
      <x:c r="C78" s="1" t="str">
        <x:v>Base cash</x:v>
      </x:c>
      <x:c r="D78" s="2" t="n">
        <x:f>'Base Case'!S23</x:f>
        <x:v>226.84540038688928</x:v>
      </x:c>
      <x:c r="E78" s="2" t="n">
        <x:v>0</x:v>
      </x:c>
      <x:c r="F78" s="2" t="n">
        <x:f>D78</x:f>
        <x:v>226.84540038688928</x:v>
      </x:c>
      <x:c r="G78" s="2" t="n">
        <x:v>0</x:v>
      </x:c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A79" s="1"/>
      <x:c r="B79" s="1"/>
      <x:c r="C79" s="1" t="str">
        <x:v>Earnings</x:v>
      </x:c>
      <x:c r="D79" s="2" t="n">
        <x:f>SUM('Scenario 2 Costs'!P20:S20)-SUM('Base Case'!P20:S20)</x:f>
        <x:v>-28.214999999999975</x:v>
      </x:c>
      <x:c r="E79" s="2" t="n">
        <x:f>F78</x:f>
        <x:v>226.84540038688928</x:v>
      </x:c>
      <x:c r="F79" s="2" t="n">
        <x:f>E79+D79</x:f>
        <x:v>198.6304003868893</x:v>
      </x:c>
      <x:c r="G79" s="2" t="n">
        <x:f>MIN(E79,F79)</x:f>
        <x:v>198.6304003868893</x:v>
      </x:c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A80" s="1"/>
      <x:c r="B80" s="1"/>
      <x:c r="C80" s="1" t="str">
        <x:v>Receivables</x:v>
      </x:c>
      <x:c r="D80" s="2" t="n">
        <x:f>-('Scenario 2 Costs'!S24-'Base Case'!S24)</x:f>
        <x:v>-4.057777777777801</x:v>
      </x:c>
      <x:c r="E80" s="2" t="n">
        <x:f>F79</x:f>
        <x:v>198.6304003868893</x:v>
      </x:c>
      <x:c r="F80" s="2" t="n">
        <x:f>E80+D80</x:f>
        <x:v>194.5726226091115</x:v>
      </x:c>
      <x:c r="G80" s="2" t="n">
        <x:f>MIN(E80,F80)</x:f>
        <x:v>194.5726226091115</x:v>
      </x:c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A81" s="1"/>
      <x:c r="B81" s="1"/>
      <x:c r="C81" s="1" t="str">
        <x:v>Inventory</x:v>
      </x:c>
      <x:c r="D81" s="2" t="n">
        <x:f>-('Scenario 2 Costs'!S25-'Base Case'!S25)</x:f>
        <x:v>-53.654677267847546</x:v>
      </x:c>
      <x:c r="E81" s="2" t="n">
        <x:f>F80</x:f>
        <x:v>194.5726226091115</x:v>
      </x:c>
      <x:c r="F81" s="2" t="n">
        <x:f>E81+D81</x:f>
        <x:v>140.91794534126396</x:v>
      </x:c>
      <x:c r="G81" s="2" t="n">
        <x:f>MIN(E81,F81)</x:f>
        <x:v>140.91794534126396</x:v>
      </x:c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A82" s="1"/>
      <x:c r="B82" s="1"/>
      <x:c r="C82" s="1" t="str">
        <x:v>Payables</x:v>
      </x:c>
      <x:c r="D82" s="2" t="n">
        <x:f>'Scenario 2 Costs'!S30-'Base Case'!S30</x:f>
        <x:v>13.525925925925947</x:v>
      </x:c>
      <x:c r="E82" s="2" t="n">
        <x:f>F81</x:f>
        <x:v>140.91794534126396</x:v>
      </x:c>
      <x:c r="F82" s="2" t="n">
        <x:f>E82+D82</x:f>
        <x:v>154.4438712671899</x:v>
      </x:c>
      <x:c r="G82" s="2" t="n">
        <x:f>MIN(E82,F82)</x:f>
        <x:v>140.91794534126396</x:v>
      </x:c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A83" s="1"/>
      <x:c r="B83" s="1"/>
      <x:c r="C83" s="1" t="str">
        <x:v>Scenario cash</x:v>
      </x:c>
      <x:c r="D83" s="2" t="n">
        <x:f>'Scenario 2 Costs'!S23</x:f>
        <x:v>154.44387126718988</x:v>
      </x:c>
      <x:c r="E83" s="2" t="n">
        <x:v>0</x:v>
      </x:c>
      <x:c r="F83" s="2" t="n">
        <x:f>D83</x:f>
        <x:v>154.44387126718988</x:v>
      </x:c>
      <x:c r="G83" s="2" t="n">
        <x:v>0</x:v>
      </x:c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A85" s="1"/>
      <x:c r="B85" s="1"/>
      <x:c r="C85" s="1" t="str">
        <x:v>The bridge isolates earnings and working capital; capex, depreciation and financing are unchanged.</x:v>
      </x:c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A88" s="1"/>
      <x:c r="B88" s="1"/>
      <x:c r="C88" s="55" t="str">
        <x:v>2024 material cost recovery</x:v>
      </x:c>
      <x:c r="D88" s="56"/>
      <x:c r="E88" s="56"/>
      <x:c r="F88" s="56"/>
      <x:c r="G88" s="56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A90" s="1"/>
      <x:c r="B90" s="1"/>
      <x:c r="C90" s="59" t="str">
        <x:v>Component</x:v>
      </x:c>
      <x:c r="D90" s="61" t="str">
        <x:v>USD millions</x:v>
      </x:c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A91" s="1"/>
      <x:c r="B91" s="1"/>
      <x:c r="C91" s="1" t="str">
        <x:v>Additional cost</x:v>
      </x:c>
      <x:c r="D91" s="2" t="n">
        <x:f>SUM('Scenario 2 Costs'!P74:S74)</x:f>
        <x:v>62.699999999999996</x:v>
      </x:c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A92" s="1"/>
      <x:c r="B92" s="1"/>
      <x:c r="C92" s="1" t="str">
        <x:v>Recovered through prices</x:v>
      </x:c>
      <x:c r="D92" s="2" t="n">
        <x:f>SUM('Scenario 2 Costs'!P75:S75)</x:f>
        <x:v>25.080000000000002</x:v>
      </x:c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A93" s="1"/>
      <x:c r="B93" s="1"/>
      <x:c r="C93" s="1" t="str">
        <x:v>Unrecovered cost</x:v>
      </x:c>
      <x:c r="D93" s="2" t="n">
        <x:f>D91-D92</x:f>
        <x:v>37.61999999999999</x:v>
      </x:c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A97" s="1"/>
      <x:c r="B97" s="1"/>
      <x:c r="C97" s="2" t="str">
        <x:v>Cash bridge</x:v>
      </x:c>
      <x:c r="D97" s="2" t="str">
        <x:v>Offset</x:v>
      </x:c>
      <x:c r="E97" s="2" t="str">
        <x:v>Cash reduction</x:v>
      </x:c>
      <x:c r="F97" s="2" t="str">
        <x:v>Cash release</x:v>
      </x:c>
      <x:c r="G97" s="2" t="str">
        <x:v>Total</x:v>
      </x:c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A98" s="1"/>
      <x:c r="B98" s="1"/>
      <x:c r="C98" s="2" t="str">
        <x:v>Base cash</x:v>
      </x:c>
      <x:c r="D98" s="2" t="n">
        <x:f>G78</x:f>
        <x:v>0</x:v>
      </x:c>
      <x:c r="E98" s="2" t="n">
        <x:f>0</x:f>
        <x:v>0</x:v>
      </x:c>
      <x:c r="F98" s="2" t="n">
        <x:f>0</x:f>
        <x:v>0</x:v>
      </x:c>
      <x:c r="G98" s="2" t="n">
        <x:f>D78</x:f>
        <x:v>226.84540038688928</x:v>
      </x:c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A99" s="1"/>
      <x:c r="B99" s="1"/>
      <x:c r="C99" s="2" t="str">
        <x:v>Earnings</x:v>
      </x:c>
      <x:c r="D99" s="2" t="n">
        <x:f>G79</x:f>
        <x:v>198.6304003868893</x:v>
      </x:c>
      <x:c r="E99" s="2" t="n">
        <x:f>MAX(-D79,0)</x:f>
        <x:v>28.214999999999975</x:v>
      </x:c>
      <x:c r="F99" s="2" t="n">
        <x:f>MAX(D79,0)</x:f>
        <x:v>0</x:v>
      </x:c>
      <x:c r="G99" s="2" t="n">
        <x:f>0</x:f>
        <x:v>0</x:v>
      </x:c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A100" s="1"/>
      <x:c r="B100" s="1"/>
      <x:c r="C100" s="2" t="str">
        <x:v>AR</x:v>
      </x:c>
      <x:c r="D100" s="2" t="n">
        <x:f>G80</x:f>
        <x:v>194.5726226091115</x:v>
      </x:c>
      <x:c r="E100" s="2" t="n">
        <x:f>MAX(-D80,0)</x:f>
        <x:v>4.057777777777801</x:v>
      </x:c>
      <x:c r="F100" s="2" t="n">
        <x:f>MAX(D80,0)</x:f>
        <x:v>0</x:v>
      </x:c>
      <x:c r="G100" s="2" t="n">
        <x:f>0</x:f>
        <x:v>0</x:v>
      </x:c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A101" s="1"/>
      <x:c r="B101" s="1"/>
      <x:c r="C101" s="2" t="str">
        <x:v>Inventory</x:v>
      </x:c>
      <x:c r="D101" s="2" t="n">
        <x:f>G81</x:f>
        <x:v>140.91794534126396</x:v>
      </x:c>
      <x:c r="E101" s="2" t="n">
        <x:f>MAX(-D81,0)</x:f>
        <x:v>53.654677267847546</x:v>
      </x:c>
      <x:c r="F101" s="2" t="n">
        <x:f>MAX(D81,0)</x:f>
        <x:v>0</x:v>
      </x:c>
      <x:c r="G101" s="2" t="n">
        <x:f>0</x:f>
        <x:v>0</x:v>
      </x:c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A102" s="1"/>
      <x:c r="B102" s="1"/>
      <x:c r="C102" s="2" t="str">
        <x:v>AP</x:v>
      </x:c>
      <x:c r="D102" s="2" t="n">
        <x:f>G82</x:f>
        <x:v>140.91794534126396</x:v>
      </x:c>
      <x:c r="E102" s="2" t="n">
        <x:f>MAX(-D82,0)</x:f>
        <x:v>0</x:v>
      </x:c>
      <x:c r="F102" s="2" t="n">
        <x:f>MAX(D82,0)</x:f>
        <x:v>13.525925925925947</x:v>
      </x:c>
      <x:c r="G102" s="2" t="n">
        <x:f>0</x:f>
        <x:v>0</x:v>
      </x:c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A103" s="1"/>
      <x:c r="B103" s="1"/>
      <x:c r="C103" s="2" t="str">
        <x:v>Scenario cash</x:v>
      </x:c>
      <x:c r="D103" s="2" t="n">
        <x:f>G83</x:f>
        <x:v>0</x:v>
      </x:c>
      <x:c r="E103" s="2" t="n">
        <x:f>0</x:f>
        <x:v>0</x:v>
      </x:c>
      <x:c r="F103" s="2" t="n">
        <x:f>0</x:f>
        <x:v>0</x:v>
      </x:c>
      <x:c r="G103" s="2" t="n">
        <x:f>D83</x:f>
        <x:v>154.44387126718988</x:v>
      </x:c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A104" s="1"/>
      <x:c r="B104" s="1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A105" s="1"/>
      <x:c r="B105" s="1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A106" s="1"/>
      <x:c r="B106" s="1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A107" s="1"/>
      <x:c r="B107" s="1"/>
      <x:c r="C107" s="2" t="str">
        <x:v>Cost recovery</x:v>
      </x:c>
      <x:c r="D107" s="2" t="str">
        <x:v>Offset</x:v>
      </x:c>
      <x:c r="E107" s="2" t="str">
        <x:v>Recovery</x:v>
      </x:c>
      <x:c r="F107" s="2" t="str">
        <x:v>Cost</x:v>
      </x:c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A108" s="1"/>
      <x:c r="B108" s="1"/>
      <x:c r="C108" s="2" t="str">
        <x:v>Additional cost</x:v>
      </x:c>
      <x:c r="D108" s="2" t="n">
        <x:v>0</x:v>
      </x:c>
      <x:c r="E108" s="2" t="n">
        <x:v>0</x:v>
      </x:c>
      <x:c r="F108" s="2" t="n">
        <x:f>D91</x:f>
        <x:v>62.699999999999996</x:v>
      </x:c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A109" s="1"/>
      <x:c r="B109" s="1"/>
      <x:c r="C109" s="2" t="str">
        <x:v>Price recovery</x:v>
      </x:c>
      <x:c r="D109" s="2" t="n">
        <x:f>D93</x:f>
        <x:v>37.61999999999999</x:v>
      </x:c>
      <x:c r="E109" s="2" t="n">
        <x:f>D92</x:f>
        <x:v>25.080000000000002</x:v>
      </x:c>
      <x:c r="F109" s="2" t="n">
        <x:v>0</x:v>
      </x:c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A110" s="1"/>
      <x:c r="B110" s="1"/>
      <x:c r="C110" s="2" t="str">
        <x:v>Unrecovered</x:v>
      </x:c>
      <x:c r="D110" s="2" t="n">
        <x:v>0</x:v>
      </x:c>
      <x:c r="E110" s="2" t="n">
        <x:v>0</x:v>
      </x:c>
      <x:c r="F110" s="2" t="n">
        <x:f>D93</x:f>
        <x:v>37.61999999999999</x:v>
      </x:c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 ht="21" customHeight="1">
      <x:c r="A113" s="1"/>
      <x:c r="B113" s="1"/>
      <x:c r="C113" s="1" t="str">
        <x:v>Bridge charts use formula-linked stacked columns, preserving native Excel editability.</x:v>
      </x:c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 ht="21" customHeight="1">
      <x:c r="A151" s="1"/>
      <x:c r="B151" s="1"/>
      <x:c r="C151" s="1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 ht="21" customHeight="1">
      <x:c r="A152" s="1"/>
      <x:c r="B152" s="1"/>
      <x:c r="C152" s="1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 ht="21" customHeight="1">
      <x:c r="A153" s="1"/>
      <x:c r="B153" s="1"/>
      <x:c r="C153" s="1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 ht="21" customHeight="1">
      <x:c r="A154" s="1"/>
      <x:c r="B154" s="1"/>
      <x:c r="C154" s="1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 ht="21" customHeight="1">
      <x:c r="A155" s="1"/>
      <x:c r="B155" s="1"/>
      <x:c r="C155" s="1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</x:sheetData>
  <x:pageMargins left="0.7" right="0.7" top="0.75" bottom="0.75" header="0.3" footer="0.3"/>
  <x:drawing xmlns:r="http://schemas.openxmlformats.org/officeDocument/2006/relationships" r:id="Rc4c25d827d4b419b"/>
</x:worksheet>
</file>

<file path=xl/worksheets/sheet2.xml><?xml version="1.0" encoding="utf-8"?>
<x:worksheet xmlns:x="http://schemas.openxmlformats.org/spreadsheetml/2006/main">
  <x:sheetPr>
    <x:tabColor rgb="FF4C708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88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3" t="str">
        <x:v>AST shared forecast assumptions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1" t="str">
        <x:v>Forecast origin: 31 December 2023. Analyst assumptions, not management guidance.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21" customHeight="1">
      <x:c r="A5" s="1"/>
      <x:c r="B5" s="1"/>
      <x:c r="C5" s="1"/>
      <x:c r="D5" s="6" t="str">
        <x:v>2024 forecast</x:v>
      </x:c>
      <x:c r="E5" s="6" t="str">
        <x:v>2025 forecast</x:v>
      </x:c>
      <x:c r="F5" s="6" t="str">
        <x:v>2026 forecast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21" customHeight="1">
      <x:c r="A6" s="1"/>
      <x:c r="B6" s="1"/>
      <x:c r="C6" s="1" t="str">
        <x:v>Annual revenue growth</x:v>
      </x:c>
      <x:c r="D6" s="9" t="n">
        <x:v>0.1</x:v>
      </x:c>
      <x:c r="E6" s="9" t="n">
        <x:v>0.09</x:v>
      </x:c>
      <x:c r="F6" s="9" t="n">
        <x:v>0.08</x:v>
      </x:c>
      <x:c r="G6" s="1"/>
      <x:c r="H6" s="1"/>
      <x:c r="I6" s="1" t="str">
        <x:v>Judgement: growth moderates from 11.8% in 2023.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ht="21" customHeight="1">
      <x:c r="A7" s="1"/>
      <x:c r="B7" s="1"/>
      <x:c r="C7" s="1" t="str">
        <x:v>COGS / revenue</x:v>
      </x:c>
      <x:c r="D7" s="9" t="n">
        <x:v>0.6</x:v>
      </x:c>
      <x:c r="E7" s="9" t="n">
        <x:v>0.6</x:v>
      </x:c>
      <x:c r="F7" s="9" t="n">
        <x:v>0.6</x:v>
      </x:c>
      <x:c r="G7" s="2"/>
      <x:c r="H7" s="2"/>
      <x:c r="I7" s="2" t="str">
        <x:v>Historical gross margin maintained at 40%.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1" customHeight="1">
      <x:c r="A8" s="1"/>
      <x:c r="B8" s="1"/>
      <x:c r="C8" s="1" t="str">
        <x:v>Total operating expenses / revenue</x:v>
      </x:c>
      <x:c r="D8" s="10" t="n">
        <x:f>SUM('Base Case'!L13:O13)/SUM('Base Case'!L10:O10)</x:f>
        <x:v>0.21052631578947367</x:v>
      </x:c>
      <x:c r="E8" s="10" t="n">
        <x:f>SUM('Base Case'!L13:O13)/SUM('Base Case'!L10:O10)</x:f>
        <x:v>0.21052631578947367</x:v>
      </x:c>
      <x:c r="F8" s="10" t="n">
        <x:f>SUM('Base Case'!L13:O13)/SUM('Base Case'!L10:O10)</x:f>
        <x:v>0.21052631578947367</x:v>
      </x:c>
      <x:c r="G8" s="2"/>
      <x:c r="H8" s="2"/>
      <x:c r="I8" s="2" t="str">
        <x:v>2023 ratio, including forecast depreciation.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1" customHeight="1">
      <x:c r="A9" s="1"/>
      <x:c r="B9" s="1"/>
      <x:c r="C9" s="1" t="str">
        <x:v>Capital expenditure / revenue</x:v>
      </x:c>
      <x:c r="D9" s="9" t="n">
        <x:v>0.1</x:v>
      </x:c>
      <x:c r="E9" s="9" t="n">
        <x:v>0.1</x:v>
      </x:c>
      <x:c r="F9" s="9" t="n">
        <x:v>0.1</x:v>
      </x:c>
      <x:c r="G9" s="2"/>
      <x:c r="H9" s="2"/>
      <x:c r="I9" s="2" t="str">
        <x:v>Analyst assumption near 2023 negative investing entries / sales.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1" customHeight="1">
      <x:c r="A10" s="1"/>
      <x:c r="B10" s="1"/>
      <x:c r="C10" s="1" t="str">
        <x:v>Effective tax rate</x:v>
      </x:c>
      <x:c r="D10" s="9" t="n">
        <x:v>0.25</x:v>
      </x:c>
      <x:c r="E10" s="9" t="n">
        <x:v>0.25</x:v>
      </x:c>
      <x:c r="F10" s="9" t="n">
        <x:v>0.25</x:v>
      </x:c>
      <x:c r="G10" s="2"/>
      <x:c r="H10" s="2"/>
      <x:c r="I10" s="2" t="str">
        <x:v>2023 effective rate. Tax on positive pretax profit only.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1" customHeight="1">
      <x:c r="A11" s="1"/>
      <x:c r="B11" s="1"/>
      <x:c r="C11" s="1" t="str">
        <x:v>Annual borrowing rate</x:v>
      </x:c>
      <x:c r="D11" s="10" t="n">
        <x:f>SUM('Base Case'!L17:O17)/(('Base Case'!K31+'Base Case'!K33+'Base Case'!O31+'Base Case'!O33)/2)</x:f>
        <x:v>0.056338028169014086</x:v>
      </x:c>
      <x:c r="E11" s="10" t="n">
        <x:f>SUM('Base Case'!L17:O17)/(('Base Case'!K31+'Base Case'!K33+'Base Case'!O31+'Base Case'!O33)/2)</x:f>
        <x:v>0.056338028169014086</x:v>
      </x:c>
      <x:c r="F11" s="10" t="n">
        <x:f>SUM('Base Case'!L17:O17)/(('Base Case'!K31+'Base Case'!K33+'Base Case'!O31+'Base Case'!O33)/2)</x:f>
        <x:v>0.056338028169014086</x:v>
      </x:c>
      <x:c r="G11" s="2"/>
      <x:c r="H11" s="2"/>
      <x:c r="I11" s="2" t="str">
        <x:v>2023 interest / average of 2022 and 2023 year-end total debt.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21" customHeight="1">
      <x:c r="A12" s="1"/>
      <x:c r="B12" s="1"/>
      <x:c r="C12" s="1" t="str">
        <x:v>Scheduled principal repayments</x:v>
      </x:c>
      <x:c r="D12" s="4" t="n">
        <x:v>50</x:v>
      </x:c>
      <x:c r="E12" s="4" t="n">
        <x:v>50</x:v>
      </x:c>
      <x:c r="F12" s="4" t="n">
        <x:v>50</x:v>
      </x:c>
      <x:c r="G12" s="2"/>
      <x:c r="H12" s="2"/>
      <x:c r="I12" s="2" t="str">
        <x:v>2024 matches current debt at forecast origin. Later maturities assumed.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21" customHeight="1">
      <x:c r="A13" s="1"/>
      <x:c r="B13" s="1"/>
      <x:c r="C13" s="1" t="str">
        <x:v>New cash borrowings</x:v>
      </x:c>
      <x:c r="D13" s="4" t="n">
        <x:v>0</x:v>
      </x:c>
      <x:c r="E13" s="4" t="n">
        <x:v>0</x:v>
      </x:c>
      <x:c r="F13" s="4" t="n">
        <x:v>0</x:v>
      </x:c>
      <x:c r="G13" s="2"/>
      <x:c r="H13" s="2"/>
      <x:c r="I13" s="2" t="str">
        <x:v>No additional debt assumed. No automatic cash sweep or financing plug.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21" customHeight="1">
      <x:c r="A14" s="1"/>
      <x:c r="B14" s="1"/>
      <x:c r="C14" s="1" t="str">
        <x:v>Net cash equity financing</x:v>
      </x:c>
      <x:c r="D14" s="4" t="n">
        <x:v>0</x:v>
      </x:c>
      <x:c r="E14" s="4" t="n">
        <x:v>0</x:v>
      </x:c>
      <x:c r="F14" s="4" t="n">
        <x:v>0</x:v>
      </x:c>
      <x:c r="G14" s="2"/>
      <x:c r="H14" s="2"/>
      <x:c r="I14" s="2" t="str">
        <x:v>No repetition of unexplained historical equity transactions.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21" customHeight="1">
      <x:c r="A15" s="1"/>
      <x:c r="B15" s="1"/>
      <x:c r="C15" s="1" t="str">
        <x:v>Cash dividends</x:v>
      </x:c>
      <x:c r="D15" s="4" t="n">
        <x:v>0</x:v>
      </x:c>
      <x:c r="E15" s="4" t="n">
        <x:v>0</x:v>
      </x:c>
      <x:c r="F15" s="4" t="n">
        <x:v>0</x:v>
      </x:c>
      <x:c r="G15" s="2"/>
      <x:c r="H15" s="2"/>
      <x:c r="I15" s="2" t="str">
        <x:v>Retain forecast earnings; no dividends assumed.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21" customHeight="1">
      <x:c r="A16" s="1"/>
      <x:c r="B16" s="1"/>
      <x:c r="C16" s="1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21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21" customHeight="1">
      <x:c r="A18" s="1"/>
      <x:c r="B18" s="1"/>
      <x:c r="C18" s="1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21" customHeight="1">
      <x:c r="A19" s="1"/>
      <x:c r="B19" s="1"/>
      <x:c r="C19" s="15" t="str">
        <x:v>Quarterly allocation and working-capital days</x:v>
      </x:c>
      <x:c r="D19" s="16"/>
      <x:c r="E19" s="16"/>
      <x:c r="F19" s="16"/>
      <x:c r="G19" s="16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21" customHeight="1">
      <x:c r="A20" s="1"/>
      <x:c r="B20" s="1"/>
      <x:c r="C20" s="1"/>
      <x:c r="D20" s="2" t="str">
        <x:v>Q1</x:v>
      </x:c>
      <x:c r="E20" s="2" t="str">
        <x:v>Q2</x:v>
      </x:c>
      <x:c r="F20" s="2" t="str">
        <x:v>Q3</x:v>
      </x:c>
      <x:c r="G20" s="2" t="str">
        <x:v>Q4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21" customHeight="1">
      <x:c r="A21" s="1"/>
      <x:c r="B21" s="1"/>
      <x:c r="C21" s="1" t="str">
        <x:v>Revenue allocation</x:v>
      </x:c>
      <x:c r="D21" s="11" t="n">
        <x:f>AVERAGE('Base Case'!D9,'Base Case'!H9,'Base Case'!L9)</x:f>
        <x:v>0.23666666666666666</x:v>
      </x:c>
      <x:c r="E21" s="11" t="n">
        <x:f>AVERAGE('Base Case'!E9,'Base Case'!I9,'Base Case'!M9)</x:f>
        <x:v>0.22666666666666666</x:v>
      </x:c>
      <x:c r="F21" s="11" t="n">
        <x:f>AVERAGE('Base Case'!F9,'Base Case'!J9,'Base Case'!N9)</x:f>
        <x:v>0.26</x:v>
      </x:c>
      <x:c r="G21" s="11" t="n">
        <x:f>AVERAGE('Base Case'!G9,'Base Case'!K9,'Base Case'!O9)</x:f>
        <x:v>0.27666666666666667</x:v>
      </x:c>
      <x:c r="H21" s="2"/>
      <x:c r="I21" s="2" t="str">
        <x:v>Average within-year revenue shares, 2021–2023.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A22" s="1"/>
      <x:c r="B22" s="1"/>
      <x:c r="C22" s="1" t="str">
        <x:v>Receivable days (closing balance)</x:v>
      </x:c>
      <x:c r="D22" s="12" t="n">
        <x:f>'Base Case'!L24/'Base Case'!L10*'Base Case'!L6</x:f>
        <x:v>49.736842105263165</x:v>
      </x:c>
      <x:c r="E22" s="12" t="n">
        <x:f>'Base Case'!M24/'Base Case'!M10*'Base Case'!M6</x:f>
        <x:v>56.848970251716246</x:v>
      </x:c>
      <x:c r="F22" s="12" t="n">
        <x:f>'Base Case'!N24/'Base Case'!N10*'Base Case'!N6</x:f>
        <x:v>53.07692307692307</x:v>
      </x:c>
      <x:c r="G22" s="12" t="n">
        <x:f>'Base Case'!O24/'Base Case'!O10*'Base Case'!O6</x:f>
        <x:v>53.80116959064327</x:v>
      </x:c>
      <x:c r="H22" s="2"/>
      <x:c r="I22" s="2" t="str">
        <x:v>Same-quarter 2023 closing balance / quarterly flow × actual days.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21" customHeight="1">
      <x:c r="A23" s="1"/>
      <x:c r="B23" s="1"/>
      <x:c r="C23" s="1" t="str">
        <x:v>Inventory days (closing balance)</x:v>
      </x:c>
      <x:c r="D23" s="12" t="n">
        <x:f>'Base Case'!L25/'Base Case'!L11*'Base Case'!L6</x:f>
        <x:v>110.52631578947367</x:v>
      </x:c>
      <x:c r="E23" s="12" t="n">
        <x:f>'Base Case'!M25/'Base Case'!M11*'Base Case'!M6</x:f>
        <x:v>126.33104500381388</x:v>
      </x:c>
      <x:c r="F23" s="12" t="n">
        <x:f>'Base Case'!N25/'Base Case'!N11*'Base Case'!N6</x:f>
        <x:v>117.94871794871796</x:v>
      </x:c>
      <x:c r="G23" s="12" t="n">
        <x:f>'Base Case'!O25/'Base Case'!O11*'Base Case'!O6</x:f>
        <x:v>119.55815464587394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21" customHeight="1">
      <x:c r="A24" s="1"/>
      <x:c r="B24" s="1"/>
      <x:c r="C24" s="1" t="str">
        <x:v>Payable days (closing balance)</x:v>
      </x:c>
      <x:c r="D24" s="12" t="n">
        <x:f>'Base Case'!L30/'Base Case'!L11*'Base Case'!L6</x:f>
        <x:v>78.1578947368421</x:v>
      </x:c>
      <x:c r="E24" s="12" t="n">
        <x:f>'Base Case'!M30/'Base Case'!M11*'Base Case'!M6</x:f>
        <x:v>80.79633867276888</x:v>
      </x:c>
      <x:c r="F24" s="12" t="n">
        <x:f>'Base Case'!N30/'Base Case'!N11*'Base Case'!N6</x:f>
        <x:v>73.00404858299595</x:v>
      </x:c>
      <x:c r="G24" s="12" t="n">
        <x:f>'Base Case'!O30/'Base Case'!O11*'Base Case'!O6</x:f>
        <x:v>71.73489278752436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21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21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21" customHeight="1">
      <x:c r="A27" s="1"/>
      <x:c r="B27" s="1"/>
      <x:c r="C27" s="15" t="str">
        <x:v>Asset and reconciliation assumptions</x:v>
      </x:c>
      <x:c r="D27" s="16"/>
      <x:c r="E27" s="16"/>
      <x:c r="F27" s="16"/>
      <x:c r="G27" s="16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21" customHeight="1">
      <x:c r="A28" s="1"/>
      <x:c r="B28" s="1"/>
      <x:c r="C28" s="1" t="str">
        <x:v>Existing PP&amp;E remaining life (years)</x:v>
      </x:c>
      <x:c r="D28" s="4" t="n">
        <x:v>10</x:v>
      </x:c>
      <x:c r="E28" s="2"/>
      <x:c r="F28" s="2"/>
      <x:c r="G28" s="2"/>
      <x:c r="H28" s="2"/>
      <x:c r="I28" s="2" t="str">
        <x:v>Assumed remaining life of opening net PP&amp;E; zero residual value.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21" customHeight="1">
      <x:c r="A29" s="1"/>
      <x:c r="B29" s="1"/>
      <x:c r="C29" s="1" t="str">
        <x:v>New PP&amp;E useful life (years)</x:v>
      </x:c>
      <x:c r="D29" s="4" t="n">
        <x:v>10</x:v>
      </x:c>
      <x:c r="E29" s="2"/>
      <x:c r="F29" s="2"/>
      <x:c r="G29" s="2"/>
      <x:c r="H29" s="2"/>
      <x:c r="I29" s="2" t="str">
        <x:v>Straight-line depreciation; half a quarter in acquisition quarter.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1" customHeight="1">
      <x:c r="A30" s="1"/>
      <x:c r="B30" s="1"/>
      <x:c r="C30" s="1" t="str">
        <x:v>Inferred Q1 2021 opening cash</x:v>
      </x:c>
      <x:c r="D30" s="4" t="n">
        <x:v>21.8</x:v>
      </x:c>
      <x:c r="E30" s="2"/>
      <x:c r="F30" s="2"/>
      <x:c r="G30" s="2"/>
      <x:c r="H30" s="2"/>
      <x:c r="I30" s="2" t="str">
        <x:v>Proposed correction from closing cash less cash-flow category sum.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21" customHeight="1">
      <x:c r="A31" s="1"/>
      <x:c r="B31" s="1"/>
      <x:c r="C31" s="1" t="str">
        <x:v>Unresolved opening equity difference</x:v>
      </x:c>
      <x:c r="D31" s="4" t="n">
        <x:v>-0.2</x:v>
      </x:c>
      <x:c r="E31" s="2"/>
      <x:c r="F31" s="2"/>
      <x:c r="G31" s="2"/>
      <x:c r="H31" s="2"/>
      <x:c r="I31" s="2" t="str">
        <x:v>Fixed opening difference, not a forecast balancing plug.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21" customHeight="1">
      <x:c r="A32" s="1"/>
      <x:c r="B32" s="1"/>
      <x:c r="C32" s="1" t="str">
        <x:v>Inferred Q4 2020 PP&amp;E</x:v>
      </x:c>
      <x:c r="D32" s="4" t="n">
        <x:v>420</x:v>
      </x:c>
      <x:c r="E32" s="2"/>
      <x:c r="F32" s="2"/>
      <x:c r="G32" s="2"/>
      <x:c r="H32" s="2"/>
      <x:c r="I32" s="2" t="str">
        <x:v>Source Q1 2021 PP&amp;E plus signed source investing flow.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21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21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21" customHeight="1">
      <x:c r="A35" s="1"/>
      <x:c r="B35" s="1"/>
      <x:c r="C35" s="1" t="str">
        <x:v>Blue: editable inputs. Green: links to other sheets. Black: same-sheet calculations.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 ht="21" customHeight="1">
      <x:c r="A37" s="1"/>
      <x:c r="B37" s="1"/>
      <x:c r="C37" s="1" t="str">
        <x:v>Baseline assumes stable policy, input pricing and cost ratios; no asset sales or interest on cash.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 ht="21" customHeight="1">
      <x:c r="A38" s="1"/>
      <x:c r="B38" s="1"/>
      <x:c r="C38" s="1" t="str">
        <x:v>Depreciation is allocated inside operating expenses. Cash operating expenses are the residual.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 ht="21" customHeight="1">
      <x:c r="A39" s="1"/>
      <x:c r="B39" s="1"/>
      <x:c r="C39" s="1" t="str">
        <x:v>Asset lives must be at least three years for this forecast horizon and depreciation schedule.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21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 ht="21" customHeight="1">
      <x:c r="A43" s="1"/>
      <x:c r="B43" s="1"/>
      <x:c r="C43" s="15" t="str">
        <x:v>Scenario 1 policy shift</x:v>
      </x:c>
      <x:c r="D43" s="16"/>
      <x:c r="E43" s="16"/>
      <x:c r="F43" s="16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 ht="21" customHeight="1">
      <x:c r="A45" s="1"/>
      <x:c r="B45" s="1"/>
      <x:c r="C45" s="1"/>
      <x:c r="D45" s="17" t="str">
        <x:v>2024</x:v>
      </x:c>
      <x:c r="E45" s="17" t="str">
        <x:v>2025</x:v>
      </x:c>
      <x:c r="F45" s="17" t="str">
        <x:v>2026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 ht="21" customHeight="1">
      <x:c r="A47" s="1"/>
      <x:c r="B47" s="1"/>
      <x:c r="C47" s="1" t="str">
        <x:v>Sales volume change</x:v>
      </x:c>
      <x:c r="D47" s="9" t="n">
        <x:v>-0.1</x:v>
      </x:c>
      <x:c r="E47" s="9" t="n">
        <x:v>-0.1</x:v>
      </x:c>
      <x:c r="F47" s="9" t="n">
        <x:v>-0.1</x:v>
      </x:c>
      <x:c r="G47" s="2"/>
      <x:c r="H47" s="2"/>
      <x:c r="I47" s="2" t="str">
        <x:v>Level change relative to base; persists throughout the forecast.</x:v>
      </x:c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 ht="21" customHeight="1">
      <x:c r="A48" s="1"/>
      <x:c r="B48" s="1"/>
      <x:c r="C48" s="1" t="str">
        <x:v>Selling price change</x:v>
      </x:c>
      <x:c r="D48" s="9" t="n">
        <x:v>-0.02</x:v>
      </x:c>
      <x:c r="E48" s="9" t="n">
        <x:v>-0.02</x:v>
      </x:c>
      <x:c r="F48" s="9" t="n">
        <x:v>-0.02</x:v>
      </x:c>
      <x:c r="G48" s="2"/>
      <x:c r="H48" s="2"/>
      <x:c r="I48" s="2" t="str">
        <x:v>Assumed discounting; no subsidy elasticity is estimated.</x:v>
      </x:c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21" customHeight="1">
      <x:c r="A49" s="1"/>
      <x:c r="B49" s="1"/>
      <x:c r="C49" s="1" t="str">
        <x:v>Additional receivable days</x:v>
      </x:c>
      <x:c r="D49" s="18" t="n">
        <x:v>5</x:v>
      </x:c>
      <x:c r="E49" s="18" t="n">
        <x:v>5</x:v>
      </x:c>
      <x:c r="F49" s="18" t="n">
        <x:v>5</x:v>
      </x:c>
      <x:c r="G49" s="2"/>
      <x:c r="H49" s="2"/>
      <x:c r="I49" s="2" t="str">
        <x:v>Slower collections.</x:v>
      </x:c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21" customHeight="1">
      <x:c r="A50" s="1"/>
      <x:c r="B50" s="1"/>
      <x:c r="C50" s="1" t="str">
        <x:v>Additional inventory days</x:v>
      </x:c>
      <x:c r="D50" s="18" t="n">
        <x:v>10</x:v>
      </x:c>
      <x:c r="E50" s="18" t="n">
        <x:v>10</x:v>
      </x:c>
      <x:c r="F50" s="18" t="n">
        <x:v>10</x:v>
      </x:c>
      <x:c r="G50" s="2"/>
      <x:c r="H50" s="2"/>
      <x:c r="I50" s="2" t="str">
        <x:v>Slower inventory turnover.</x:v>
      </x:c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21" customHeight="1">
      <x:c r="A51" s="1"/>
      <x:c r="B51" s="1"/>
      <x:c r="C51" s="1" t="str">
        <x:v>Additional payable days</x:v>
      </x:c>
      <x:c r="D51" s="18" t="n">
        <x:v>0</x:v>
      </x:c>
      <x:c r="E51" s="18" t="n">
        <x:v>0</x:v>
      </x:c>
      <x:c r="F51" s="18" t="n">
        <x:v>0</x:v>
      </x:c>
      <x:c r="G51" s="2"/>
      <x:c r="H51" s="2"/>
      <x:c r="I51" s="2" t="str">
        <x:v>Supplier terms unchanged.</x:v>
      </x:c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21" customHeight="1">
      <x:c r="A52" s="1"/>
      <x:c r="B52" s="1"/>
      <x:c r="C52" s="1" t="str">
        <x:v>Fixed share of baseline cash opex</x:v>
      </x:c>
      <x:c r="D52" s="9" t="n">
        <x:v>0.7</x:v>
      </x:c>
      <x:c r="E52" s="9" t="n">
        <x:v>0.7</x:v>
      </x:c>
      <x:c r="F52" s="9" t="n">
        <x:v>0.7</x:v>
      </x:c>
      <x:c r="G52" s="2"/>
      <x:c r="H52" s="2"/>
      <x:c r="I52" s="2" t="str">
        <x:v>Remaining 30% scales with sales volume.</x:v>
      </x:c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A57" s="1"/>
      <x:c r="B57" s="1"/>
      <x:c r="C57" s="15" t="str">
        <x:v>Scenario 2 cost volatility</x:v>
      </x:c>
      <x:c r="D57" s="16"/>
      <x:c r="E57" s="16"/>
      <x:c r="F57" s="16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21" customHeight="1">
      <x:c r="A59" s="1"/>
      <x:c r="B59" s="1"/>
      <x:c r="C59" s="1"/>
      <x:c r="D59" s="17" t="str">
        <x:v>2024</x:v>
      </x:c>
      <x:c r="E59" s="17" t="str">
        <x:v>2025</x:v>
      </x:c>
      <x:c r="F59" s="17" t="str">
        <x:v>2026</x:v>
      </x:c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21" customHeight="1">
      <x:c r="A61" s="1"/>
      <x:c r="B61" s="1"/>
      <x:c r="C61" s="1" t="str">
        <x:v>Raw materials / baseline COGS</x:v>
      </x:c>
      <x:c r="D61" s="9" t="n">
        <x:v>0.5</x:v>
      </x:c>
      <x:c r="E61" s="9" t="n">
        <x:v>0.5</x:v>
      </x:c>
      <x:c r="F61" s="9" t="n">
        <x:v>0.5</x:v>
      </x:c>
      <x:c r="G61" s="2"/>
      <x:c r="H61" s="2"/>
      <x:c r="I61" s="2" t="str">
        <x:v>Analyst assumption; source provides no material cost breakdown.</x:v>
      </x:c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21" customHeight="1">
      <x:c r="A62" s="1"/>
      <x:c r="B62" s="1"/>
      <x:c r="C62" s="1" t="str">
        <x:v>Material price increase</x:v>
      </x:c>
      <x:c r="D62" s="9" t="n">
        <x:v>0.2</x:v>
      </x:c>
      <x:c r="E62" s="9" t="n">
        <x:v>0.2</x:v>
      </x:c>
      <x:c r="F62" s="9" t="n">
        <x:v>0.2</x:v>
      </x:c>
      <x:c r="G62" s="2"/>
      <x:c r="H62" s="2"/>
      <x:c r="I62" s="2" t="str">
        <x:v>20% above each base quarter, not compounded each year.</x:v>
      </x:c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21" customHeight="1">
      <x:c r="A63" s="1"/>
      <x:c r="B63" s="1"/>
      <x:c r="C63" s="1" t="str">
        <x:v>Incremental material cost recovered</x:v>
      </x:c>
      <x:c r="D63" s="9" t="n">
        <x:v>0.4</x:v>
      </x:c>
      <x:c r="E63" s="9" t="n">
        <x:v>0.4</x:v>
      </x:c>
      <x:c r="F63" s="9" t="n">
        <x:v>0.4</x:v>
      </x:c>
      <x:c r="G63" s="2"/>
      <x:c r="H63" s="2"/>
      <x:c r="I63" s="2" t="str">
        <x:v>Dollar recovery via same-quarter price increases; volume unchanged.</x:v>
      </x:c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A64" s="1"/>
      <x:c r="B64" s="1"/>
      <x:c r="C64" s="1" t="str">
        <x:v>Additional receivable days</x:v>
      </x:c>
      <x:c r="D64" s="18" t="n">
        <x:v>0</x:v>
      </x:c>
      <x:c r="E64" s="18" t="n">
        <x:v>0</x:v>
      </x:c>
      <x:c r="F64" s="18" t="n">
        <x:v>0</x:v>
      </x:c>
      <x:c r="G64" s="2"/>
      <x:c r="H64" s="2"/>
      <x:c r="I64" s="2" t="str">
        <x:v>Collection timing unchanged.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A65" s="1"/>
      <x:c r="B65" s="1"/>
      <x:c r="C65" s="1" t="str">
        <x:v>Additional inventory days</x:v>
      </x:c>
      <x:c r="D65" s="18" t="n">
        <x:v>15</x:v>
      </x:c>
      <x:c r="E65" s="18" t="n">
        <x:v>15</x:v>
      </x:c>
      <x:c r="F65" s="18" t="n">
        <x:v>15</x:v>
      </x:c>
      <x:c r="G65" s="2"/>
      <x:c r="H65" s="2"/>
      <x:c r="I65" s="2" t="str">
        <x:v>Precautionary stocking; higher cost also increases inventory value.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21" customHeight="1">
      <x:c r="A66" s="1"/>
      <x:c r="B66" s="1"/>
      <x:c r="C66" s="1" t="str">
        <x:v>Additional payable days</x:v>
      </x:c>
      <x:c r="D66" s="18" t="n">
        <x:v>0</x:v>
      </x:c>
      <x:c r="E66" s="18" t="n">
        <x:v>0</x:v>
      </x:c>
      <x:c r="F66" s="18" t="n">
        <x:v>0</x:v>
      </x:c>
      <x:c r="G66" s="2"/>
      <x:c r="H66" s="2"/>
      <x:c r="I66" s="2" t="str">
        <x:v>Supplier credit terms unchanged.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21" customHeight="1">
      <x:c r="A69" s="1"/>
      <x:c r="B69" s="1"/>
      <x:c r="C69" s="1" t="str">
        <x:v>Cost scenario: volumes and cash operating expenses remain at base levels. No supply-volume shortage is assumed.</x:v>
      </x:c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A70" s="1"/>
      <x:c r="B70" s="1"/>
      <x:c r="C70" s="1" t="str">
        <x:v>All scenarios retain base capex, depreciation, debt repayments, financing and tax rules. No mitigation is credited.</x:v>
      </x:c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A71" s="1"/>
      <x:c r="B71" s="1"/>
      <x:c r="C71" s="1" t="str">
        <x:v>All comparisons are live formulas. Changes to shared assumptions update the base and both completed scenarios.</x:v>
      </x:c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A75" s="1"/>
      <x:c r="B75" s="1"/>
      <x:c r="C75" s="55" t="str">
        <x:v>Scenario 3 temporary demand shift</x:v>
      </x:c>
      <x:c r="D75" s="56"/>
      <x:c r="E75" s="56"/>
      <x:c r="F75" s="56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A77" s="1"/>
      <x:c r="B77" s="1"/>
      <x:c r="C77" s="1"/>
      <x:c r="D77" s="17" t="str">
        <x:v>2024</x:v>
      </x:c>
      <x:c r="E77" s="17" t="str">
        <x:v>2025</x:v>
      </x:c>
      <x:c r="F77" s="17" t="str">
        <x:v>2026</x:v>
      </x:c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A79" s="1"/>
      <x:c r="B79" s="1"/>
      <x:c r="C79" s="1" t="str">
        <x:v>Sales volume change</x:v>
      </x:c>
      <x:c r="D79" s="9" t="n">
        <x:v>-0.2</x:v>
      </x:c>
      <x:c r="E79" s="9" t="n">
        <x:v>-0.1</x:v>
      </x:c>
      <x:c r="F79" s="9" t="n">
        <x:v>0</x:v>
      </x:c>
      <x:c r="G79" s="2"/>
      <x:c r="H79" s="2"/>
      <x:c r="I79" s="2" t="str">
        <x:v>Temporary competing-energy subsidies; level changes versus base.</x:v>
      </x:c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A80" s="1"/>
      <x:c r="B80" s="1"/>
      <x:c r="C80" s="1" t="str">
        <x:v>Selling price change</x:v>
      </x:c>
      <x:c r="D80" s="9" t="n">
        <x:v>-0.03</x:v>
      </x:c>
      <x:c r="E80" s="9" t="n">
        <x:v>-0.015</x:v>
      </x:c>
      <x:c r="F80" s="9" t="n">
        <x:v>0</x:v>
      </x:c>
      <x:c r="G80" s="2"/>
      <x:c r="H80" s="2"/>
      <x:c r="I80" s="2" t="str">
        <x:v>Discounting fades as demand recovers.</x:v>
      </x:c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A81" s="1"/>
      <x:c r="B81" s="1"/>
      <x:c r="C81" s="1" t="str">
        <x:v>Additional receivable days</x:v>
      </x:c>
      <x:c r="D81" s="18" t="n">
        <x:v>10</x:v>
      </x:c>
      <x:c r="E81" s="18" t="n">
        <x:v>5</x:v>
      </x:c>
      <x:c r="F81" s="18" t="n">
        <x:v>0</x:v>
      </x:c>
      <x:c r="G81" s="2"/>
      <x:c r="H81" s="2"/>
      <x:c r="I81" s="2" t="str">
        <x:v>Collection delays normalise by 2026. No bad-debt loss is added.</x:v>
      </x:c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A82" s="1"/>
      <x:c r="B82" s="1"/>
      <x:c r="C82" s="1" t="str">
        <x:v>Additional inventory days</x:v>
      </x:c>
      <x:c r="D82" s="18" t="n">
        <x:v>25</x:v>
      </x:c>
      <x:c r="E82" s="18" t="n">
        <x:v>12.5</x:v>
      </x:c>
      <x:c r="F82" s="18" t="n">
        <x:v>0</x:v>
      </x:c>
      <x:c r="G82" s="2"/>
      <x:c r="H82" s="2"/>
      <x:c r="I82" s="2" t="str">
        <x:v>Inventory turnover returns to base by 2026.</x:v>
      </x:c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A83" s="1"/>
      <x:c r="B83" s="1"/>
      <x:c r="C83" s="1" t="str">
        <x:v>Additional payable days</x:v>
      </x:c>
      <x:c r="D83" s="18" t="n">
        <x:v>0</x:v>
      </x:c>
      <x:c r="E83" s="18" t="n">
        <x:v>0</x:v>
      </x:c>
      <x:c r="F83" s="18" t="n">
        <x:v>0</x:v>
      </x:c>
      <x:c r="G83" s="2"/>
      <x:c r="H83" s="2"/>
      <x:c r="I83" s="2" t="str">
        <x:v>Supplier credit terms remain unchanged.</x:v>
      </x:c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A84" s="1"/>
      <x:c r="B84" s="1"/>
      <x:c r="C84" s="1" t="str">
        <x:v>Fixed share of baseline cash opex</x:v>
      </x:c>
      <x:c r="D84" s="9" t="n">
        <x:v>0.7</x:v>
      </x:c>
      <x:c r="E84" s="9" t="n">
        <x:v>0.7</x:v>
      </x:c>
      <x:c r="F84" s="9" t="n">
        <x:v>0.7</x:v>
      </x:c>
      <x:c r="G84" s="2"/>
      <x:c r="H84" s="2"/>
      <x:c r="I84" s="2" t="str">
        <x:v>Remaining 30% scales with volume; depreciation is separate.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A87" s="1"/>
      <x:c r="B87" s="1"/>
      <x:c r="C87" s="1" t="str">
        <x:v>Temporary subsidies favour competing energy in 2024; their assumed influence fades in 2025 and ends in 2026.</x:v>
      </x:c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A88" s="1"/>
      <x:c r="B88" s="1"/>
      <x:c r="C88" s="1" t="str">
        <x:v>Production follows sales. Unit costs, capex, depreciation, debt and tax follow base; no mitigation is credited.</x:v>
      </x:c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A89" s="1"/>
      <x:c r="B89" s="1"/>
      <x:c r="C89" s="1" t="str">
        <x:v>Operating recovery does not restore profits or cash lost during earlier years. All recovery assumptions are judgemental.</x:v>
      </x:c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 ht="21" customHeight="1">
      <x:c r="A151" s="1"/>
      <x:c r="B151" s="1"/>
      <x:c r="C151" s="1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 ht="21" customHeight="1">
      <x:c r="A152" s="1"/>
      <x:c r="B152" s="1"/>
      <x:c r="C152" s="1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 ht="21" customHeight="1">
      <x:c r="A153" s="1"/>
      <x:c r="B153" s="1"/>
      <x:c r="C153" s="1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 ht="21" customHeight="1">
      <x:c r="A154" s="1"/>
      <x:c r="B154" s="1"/>
      <x:c r="C154" s="1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 ht="21" customHeight="1">
      <x:c r="A155" s="1"/>
      <x:c r="B155" s="1"/>
      <x:c r="C155" s="1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</x:sheetData>
  <x:dataValidations count="6">
    <x:dataValidation type="decimal" operator="between" sqref="D52:F52">
      <x:formula1>0</x:formula1>
      <x:formula2>1</x:formula2>
    </x:dataValidation>
    <x:dataValidation type="decimal" operator="between" sqref="D61:F61">
      <x:formula1>0</x:formula1>
      <x:formula2>1</x:formula2>
    </x:dataValidation>
    <x:dataValidation type="decimal" operator="between" sqref="D62:F62">
      <x:formula1>0</x:formula1>
      <x:formula2>1</x:formula2>
    </x:dataValidation>
    <x:dataValidation type="decimal" operator="between" sqref="D63:F63">
      <x:formula1>0</x:formula1>
      <x:formula2>1</x:formula2>
    </x:dataValidation>
    <x:dataValidation type="decimal" operator="between" sqref="D28:D29">
      <x:formula1>3</x:formula1>
      <x:formula2>50</x:formula2>
    </x:dataValidation>
    <x:dataValidation type="decimal" operator="between" sqref="D84:F84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F858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 t="str">
        <x:v>USD millions. Quarterly statements above; annual statements begin at row 92. Forecast origin: December 2023.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3" t="str">
        <x:v>AST base case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1"/>
      <x:c r="D3" s="19" t="d">
        <x:v>2021-01-01T00:00:00.000Z</x:v>
      </x:c>
      <x:c r="E3" s="19" t="d">
        <x:v>2021-04-01T00:00:00.000Z</x:v>
      </x:c>
      <x:c r="F3" s="19" t="d">
        <x:v>2021-07-01T00:00:00.000Z</x:v>
      </x:c>
      <x:c r="G3" s="19" t="d">
        <x:v>2021-10-01T00:00:00.000Z</x:v>
      </x:c>
      <x:c r="H3" s="19" t="d">
        <x:v>2022-01-01T00:00:00.000Z</x:v>
      </x:c>
      <x:c r="I3" s="19" t="d">
        <x:v>2022-04-01T00:00:00.000Z</x:v>
      </x:c>
      <x:c r="J3" s="19" t="d">
        <x:v>2022-07-01T00:00:00.000Z</x:v>
      </x:c>
      <x:c r="K3" s="19" t="d">
        <x:v>2022-10-01T00:00:00.000Z</x:v>
      </x:c>
      <x:c r="L3" s="19" t="d">
        <x:v>2023-01-01T00:00:00.000Z</x:v>
      </x:c>
      <x:c r="M3" s="19" t="d">
        <x:v>2023-04-01T00:00:00.000Z</x:v>
      </x:c>
      <x:c r="N3" s="19" t="d">
        <x:v>2023-07-01T00:00:00.000Z</x:v>
      </x:c>
      <x:c r="O3" s="19" t="d">
        <x:v>2023-10-01T00:00:00.000Z</x:v>
      </x:c>
      <x:c r="P3" s="19" t="d">
        <x:v>2024-01-01T00:00:00.000Z</x:v>
      </x:c>
      <x:c r="Q3" s="19" t="d">
        <x:v>2024-04-01T00:00:00.000Z</x:v>
      </x:c>
      <x:c r="R3" s="19" t="d">
        <x:v>2024-07-01T00:00:00.000Z</x:v>
      </x:c>
      <x:c r="S3" s="19" t="d">
        <x:v>2024-10-01T00:00:00.000Z</x:v>
      </x:c>
      <x:c r="T3" s="19" t="d">
        <x:v>2025-01-01T00:00:00.000Z</x:v>
      </x:c>
      <x:c r="U3" s="19" t="d">
        <x:v>2025-04-01T00:00:00.000Z</x:v>
      </x:c>
      <x:c r="V3" s="19" t="d">
        <x:v>2025-07-01T00:00:00.000Z</x:v>
      </x:c>
      <x:c r="W3" s="19" t="d">
        <x:v>2025-10-01T00:00:00.000Z</x:v>
      </x:c>
      <x:c r="X3" s="19" t="d">
        <x:v>2026-01-01T00:00:00.000Z</x:v>
      </x:c>
      <x:c r="Y3" s="19" t="d">
        <x:v>2026-04-01T00:00:00.000Z</x:v>
      </x:c>
      <x:c r="Z3" s="19" t="d">
        <x:v>2026-07-01T00:00:00.000Z</x:v>
      </x:c>
      <x:c r="AA3" s="19" t="d">
        <x:v>2026-10-01T00:00:00.000Z</x:v>
      </x:c>
    </x:row>
    <x:row r="4" ht="21" customHeight="1">
      <x:c r="A4" s="1"/>
      <x:c r="B4" s="1"/>
      <x:c r="C4" s="1"/>
      <x:c r="D4" s="22" t="str">
        <x:v>Q1:21</x:v>
      </x:c>
      <x:c r="E4" s="22" t="str">
        <x:v>Q2:21</x:v>
      </x:c>
      <x:c r="F4" s="22" t="str">
        <x:v>Q3:21</x:v>
      </x:c>
      <x:c r="G4" s="22" t="str">
        <x:v>Q4:21</x:v>
      </x:c>
      <x:c r="H4" s="22" t="str">
        <x:v>Q1:22</x:v>
      </x:c>
      <x:c r="I4" s="22" t="str">
        <x:v>Q2:22</x:v>
      </x:c>
      <x:c r="J4" s="22" t="str">
        <x:v>Q3:22</x:v>
      </x:c>
      <x:c r="K4" s="22" t="str">
        <x:v>Q4:22</x:v>
      </x:c>
      <x:c r="L4" s="22" t="str">
        <x:v>Q1:23</x:v>
      </x:c>
      <x:c r="M4" s="22" t="str">
        <x:v>Q2:23</x:v>
      </x:c>
      <x:c r="N4" s="22" t="str">
        <x:v>Q3:23</x:v>
      </x:c>
      <x:c r="O4" s="22" t="str">
        <x:v>Q4:23</x:v>
      </x:c>
      <x:c r="P4" s="23" t="str">
        <x:v>Q1:24</x:v>
      </x:c>
      <x:c r="Q4" s="23" t="str">
        <x:v>Q2:24</x:v>
      </x:c>
      <x:c r="R4" s="23" t="str">
        <x:v>Q3:24</x:v>
      </x:c>
      <x:c r="S4" s="23" t="str">
        <x:v>Q4:24</x:v>
      </x:c>
      <x:c r="T4" s="23" t="str">
        <x:v>Q1:25</x:v>
      </x:c>
      <x:c r="U4" s="23" t="str">
        <x:v>Q2:25</x:v>
      </x:c>
      <x:c r="V4" s="23" t="str">
        <x:v>Q3:25</x:v>
      </x:c>
      <x:c r="W4" s="23" t="str">
        <x:v>Q4:25</x:v>
      </x:c>
      <x:c r="X4" s="23" t="str">
        <x:v>Q1:26</x:v>
      </x:c>
      <x:c r="Y4" s="23" t="str">
        <x:v>Q2:26</x:v>
      </x:c>
      <x:c r="Z4" s="23" t="str">
        <x:v>Q3:26</x:v>
      </x:c>
      <x:c r="AA4" s="23" t="str">
        <x:v>Q4:26</x:v>
      </x:c>
    </x:row>
    <x:row r="5" ht="21" customHeight="1">
      <x:c r="A5" s="1"/>
      <x:c r="B5" s="1"/>
      <x:c r="C5" s="1"/>
      <x:c r="D5" s="22" t="str">
        <x:v>Historical basis</x:v>
      </x:c>
      <x:c r="E5" s="22" t="str">
        <x:v>Historical basis</x:v>
      </x:c>
      <x:c r="F5" s="22" t="str">
        <x:v>Historical basis</x:v>
      </x:c>
      <x:c r="G5" s="22" t="str">
        <x:v>Historical basis</x:v>
      </x:c>
      <x:c r="H5" s="22" t="str">
        <x:v>Historical basis</x:v>
      </x:c>
      <x:c r="I5" s="22" t="str">
        <x:v>Historical basis</x:v>
      </x:c>
      <x:c r="J5" s="22" t="str">
        <x:v>Historical basis</x:v>
      </x:c>
      <x:c r="K5" s="22" t="str">
        <x:v>Historical basis</x:v>
      </x:c>
      <x:c r="L5" s="22" t="str">
        <x:v>Historical basis</x:v>
      </x:c>
      <x:c r="M5" s="22" t="str">
        <x:v>Historical basis</x:v>
      </x:c>
      <x:c r="N5" s="22" t="str">
        <x:v>Historical basis</x:v>
      </x:c>
      <x:c r="O5" s="22" t="str">
        <x:v>Historical basis</x:v>
      </x:c>
      <x:c r="P5" s="23" t="str">
        <x:v>Base</x:v>
      </x:c>
      <x:c r="Q5" s="23" t="str">
        <x:v>Base</x:v>
      </x:c>
      <x:c r="R5" s="23" t="str">
        <x:v>Base</x:v>
      </x:c>
      <x:c r="S5" s="23" t="str">
        <x:v>Base</x:v>
      </x:c>
      <x:c r="T5" s="23" t="str">
        <x:v>Base</x:v>
      </x:c>
      <x:c r="U5" s="23" t="str">
        <x:v>Base</x:v>
      </x:c>
      <x:c r="V5" s="23" t="str">
        <x:v>Base</x:v>
      </x:c>
      <x:c r="W5" s="23" t="str">
        <x:v>Base</x:v>
      </x:c>
      <x:c r="X5" s="23" t="str">
        <x:v>Base</x:v>
      </x:c>
      <x:c r="Y5" s="23" t="str">
        <x:v>Base</x:v>
      </x:c>
      <x:c r="Z5" s="23" t="str">
        <x:v>Base</x:v>
      </x:c>
      <x:c r="AA5" s="23" t="str">
        <x:v>Base</x:v>
      </x:c>
    </x:row>
    <x:row r="6" ht="21" customHeight="1">
      <x:c r="A6" s="1"/>
      <x:c r="B6" s="1"/>
      <x:c r="C6" s="1" t="str">
        <x:v>Days in quarter</x:v>
      </x:c>
      <x:c r="D6" s="1" t="n">
        <x:v>90</x:v>
      </x:c>
      <x:c r="E6" s="1" t="n">
        <x:v>91</x:v>
      </x:c>
      <x:c r="F6" s="1" t="n">
        <x:v>92</x:v>
      </x:c>
      <x:c r="G6" s="1" t="n">
        <x:v>92</x:v>
      </x:c>
      <x:c r="H6" s="1" t="n">
        <x:v>90</x:v>
      </x:c>
      <x:c r="I6" s="1" t="n">
        <x:v>91</x:v>
      </x:c>
      <x:c r="J6" s="1" t="n">
        <x:v>92</x:v>
      </x:c>
      <x:c r="K6" s="1" t="n">
        <x:v>92</x:v>
      </x:c>
      <x:c r="L6" s="1" t="n">
        <x:v>90</x:v>
      </x:c>
      <x:c r="M6" s="1" t="n">
        <x:v>91</x:v>
      </x:c>
      <x:c r="N6" s="1" t="n">
        <x:v>92</x:v>
      </x:c>
      <x:c r="O6" s="1" t="n">
        <x:v>92</x:v>
      </x:c>
      <x:c r="P6" s="1" t="n">
        <x:v>91</x:v>
      </x:c>
      <x:c r="Q6" s="1" t="n">
        <x:v>91</x:v>
      </x:c>
      <x:c r="R6" s="1" t="n">
        <x:v>92</x:v>
      </x:c>
      <x:c r="S6" s="1" t="n">
        <x:v>92</x:v>
      </x:c>
      <x:c r="T6" s="1" t="n">
        <x:v>90</x:v>
      </x:c>
      <x:c r="U6" s="1" t="n">
        <x:v>91</x:v>
      </x:c>
      <x:c r="V6" s="1" t="n">
        <x:v>92</x:v>
      </x:c>
      <x:c r="W6" s="1" t="n">
        <x:v>92</x:v>
      </x:c>
      <x:c r="X6" s="1" t="n">
        <x:v>90</x:v>
      </x:c>
      <x:c r="Y6" s="1" t="n">
        <x:v>91</x:v>
      </x:c>
      <x:c r="Z6" s="1" t="n">
        <x:v>92</x:v>
      </x:c>
      <x:c r="AA6" s="1" t="n">
        <x:v>92</x:v>
      </x:c>
    </x:row>
    <x:row r="7" ht="21" customHeight="1">
      <x:c r="A7" s="1"/>
      <x:c r="B7" s="1"/>
      <x:c r="C7" s="15" t="str">
        <x:v>Income statement</x:v>
      </x:c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  <x:c r="AA7" s="16"/>
    </x:row>
    <x:row r="8" ht="21" customHeight="1">
      <x:c r="A8" s="1"/>
      <x:c r="B8" s="1"/>
      <x:c r="C8" s="1" t="str">
        <x:v>Annual revenue</x:v>
      </x:c>
      <x:c r="D8" s="20" t="n">
        <x:f>SUM(D10:G10)</x:f>
        <x:v>720.0000000000001</x:v>
      </x:c>
      <x:c r="E8" s="20" t="n">
        <x:f>SUM(D10:G10)</x:f>
        <x:v>720.0000000000001</x:v>
      </x:c>
      <x:c r="F8" s="20" t="n">
        <x:f>SUM(D10:G10)</x:f>
        <x:v>720.0000000000001</x:v>
      </x:c>
      <x:c r="G8" s="20" t="n">
        <x:f>SUM(D10:G10)</x:f>
        <x:v>720.0000000000001</x:v>
      </x:c>
      <x:c r="H8" s="20" t="n">
        <x:f>SUM(H10:K10)</x:f>
        <x:v>850</x:v>
      </x:c>
      <x:c r="I8" s="20" t="n">
        <x:f>SUM(H10:K10)</x:f>
        <x:v>850</x:v>
      </x:c>
      <x:c r="J8" s="20" t="n">
        <x:f>SUM(H10:K10)</x:f>
        <x:v>850</x:v>
      </x:c>
      <x:c r="K8" s="20" t="n">
        <x:f>SUM(H10:K10)</x:f>
        <x:v>850</x:v>
      </x:c>
      <x:c r="L8" s="20" t="n">
        <x:f>SUM(L10:O10)</x:f>
        <x:v>950</x:v>
      </x:c>
      <x:c r="M8" s="20" t="n">
        <x:f>SUM(L10:O10)</x:f>
        <x:v>950</x:v>
      </x:c>
      <x:c r="N8" s="20" t="n">
        <x:f>SUM(L10:O10)</x:f>
        <x:v>950</x:v>
      </x:c>
      <x:c r="O8" s="20" t="n">
        <x:f>SUM(L10:O10)</x:f>
        <x:v>950</x:v>
      </x:c>
      <x:c r="P8" s="8" t="n">
        <x:f>L8*(1+Assumptions!D6)</x:f>
        <x:v>1045</x:v>
      </x:c>
      <x:c r="Q8" s="8" t="n">
        <x:f>M8*(1+Assumptions!D6)</x:f>
        <x:v>1045</x:v>
      </x:c>
      <x:c r="R8" s="8" t="n">
        <x:f>N8*(1+Assumptions!D6)</x:f>
        <x:v>1045</x:v>
      </x:c>
      <x:c r="S8" s="8" t="n">
        <x:f>O8*(1+Assumptions!D6)</x:f>
        <x:v>1045</x:v>
      </x:c>
      <x:c r="T8" s="8" t="n">
        <x:f>P8*(1+Assumptions!E6)</x:f>
        <x:v>1139.0500000000002</x:v>
      </x:c>
      <x:c r="U8" s="8" t="n">
        <x:f>Q8*(1+Assumptions!E6)</x:f>
        <x:v>1139.0500000000002</x:v>
      </x:c>
      <x:c r="V8" s="8" t="n">
        <x:f>R8*(1+Assumptions!E6)</x:f>
        <x:v>1139.0500000000002</x:v>
      </x:c>
      <x:c r="W8" s="8" t="n">
        <x:f>S8*(1+Assumptions!E6)</x:f>
        <x:v>1139.0500000000002</x:v>
      </x:c>
      <x:c r="X8" s="8" t="n">
        <x:f>T8*(1+Assumptions!F6)</x:f>
        <x:v>1230.1740000000002</x:v>
      </x:c>
      <x:c r="Y8" s="8" t="n">
        <x:f>U8*(1+Assumptions!F6)</x:f>
        <x:v>1230.1740000000002</x:v>
      </x:c>
      <x:c r="Z8" s="8" t="n">
        <x:f>V8*(1+Assumptions!F6)</x:f>
        <x:v>1230.1740000000002</x:v>
      </x:c>
      <x:c r="AA8" s="8" t="n">
        <x:f>W8*(1+Assumptions!F6)</x:f>
        <x:v>1230.1740000000002</x:v>
      </x:c>
    </x:row>
    <x:row r="9" ht="21" customHeight="1">
      <x:c r="A9" s="1"/>
      <x:c r="B9" s="1"/>
      <x:c r="C9" s="1" t="str">
        <x:v>Quarter share of annual revenue</x:v>
      </x:c>
      <x:c r="D9" s="32" t="n">
        <x:f>D10/D8</x:f>
        <x:v>0.24</x:v>
      </x:c>
      <x:c r="E9" s="32" t="n">
        <x:f>E10/E8</x:f>
        <x:v>0.21999999999999997</x:v>
      </x:c>
      <x:c r="F9" s="32" t="n">
        <x:f>F10/F8</x:f>
        <x:v>0.25999999999999995</x:v>
      </x:c>
      <x:c r="G9" s="32" t="n">
        <x:f>G10/G8</x:f>
        <x:v>0.27999999999999997</x:v>
      </x:c>
      <x:c r="H9" s="32" t="n">
        <x:f>H10/H8</x:f>
        <x:v>0.23</x:v>
      </x:c>
      <x:c r="I9" s="32" t="n">
        <x:f>I10/I8</x:f>
        <x:v>0.23</x:v>
      </x:c>
      <x:c r="J9" s="32" t="n">
        <x:f>J10/J8</x:f>
        <x:v>0.26</x:v>
      </x:c>
      <x:c r="K9" s="32" t="n">
        <x:f>K10/K8</x:f>
        <x:v>0.28</x:v>
      </x:c>
      <x:c r="L9" s="32" t="n">
        <x:f>L10/L8</x:f>
        <x:v>0.24</x:v>
      </x:c>
      <x:c r="M9" s="32" t="n">
        <x:f>M10/M8</x:f>
        <x:v>0.23</x:v>
      </x:c>
      <x:c r="N9" s="32" t="n">
        <x:f>N10/N8</x:f>
        <x:v>0.26</x:v>
      </x:c>
      <x:c r="O9" s="32" t="n">
        <x:f>O10/O8</x:f>
        <x:v>0.27</x:v>
      </x:c>
      <x:c r="P9" s="11" t="n">
        <x:f>Assumptions!D21</x:f>
        <x:v>0.23666666666666666</x:v>
      </x:c>
      <x:c r="Q9" s="11" t="n">
        <x:f>Assumptions!E21</x:f>
        <x:v>0.22666666666666666</x:v>
      </x:c>
      <x:c r="R9" s="11" t="n">
        <x:f>Assumptions!F21</x:f>
        <x:v>0.26</x:v>
      </x:c>
      <x:c r="S9" s="11" t="n">
        <x:f>Assumptions!G21</x:f>
        <x:v>0.27666666666666667</x:v>
      </x:c>
      <x:c r="T9" s="11" t="n">
        <x:f>Assumptions!D21</x:f>
        <x:v>0.23666666666666666</x:v>
      </x:c>
      <x:c r="U9" s="11" t="n">
        <x:f>Assumptions!E21</x:f>
        <x:v>0.22666666666666666</x:v>
      </x:c>
      <x:c r="V9" s="11" t="n">
        <x:f>Assumptions!F21</x:f>
        <x:v>0.26</x:v>
      </x:c>
      <x:c r="W9" s="11" t="n">
        <x:f>Assumptions!G21</x:f>
        <x:v>0.27666666666666667</x:v>
      </x:c>
      <x:c r="X9" s="11" t="n">
        <x:f>Assumptions!D21</x:f>
        <x:v>0.23666666666666666</x:v>
      </x:c>
      <x:c r="Y9" s="11" t="n">
        <x:f>Assumptions!E21</x:f>
        <x:v>0.22666666666666666</x:v>
      </x:c>
      <x:c r="Z9" s="11" t="n">
        <x:f>Assumptions!F21</x:f>
        <x:v>0.26</x:v>
      </x:c>
      <x:c r="AA9" s="11" t="n">
        <x:f>Assumptions!G21</x:f>
        <x:v>0.27666666666666667</x:v>
      </x:c>
    </x:row>
    <x:row r="10" ht="21" customHeight="1">
      <x:c r="A10" s="1"/>
      <x:c r="B10" s="1"/>
      <x:c r="C10" s="1" t="str">
        <x:v>Revenue</x:v>
      </x:c>
      <x:c r="D10" s="8" t="n">
        <x:f>Source!C4</x:f>
        <x:v>172.8</x:v>
      </x:c>
      <x:c r="E10" s="8" t="n">
        <x:f>Source!D4</x:f>
        <x:v>158.4</x:v>
      </x:c>
      <x:c r="F10" s="8" t="n">
        <x:f>Source!E4</x:f>
        <x:v>187.2</x:v>
      </x:c>
      <x:c r="G10" s="8" t="n">
        <x:f>Source!F4</x:f>
        <x:v>201.6</x:v>
      </x:c>
      <x:c r="H10" s="8" t="n">
        <x:f>Source!G4</x:f>
        <x:v>195.5</x:v>
      </x:c>
      <x:c r="I10" s="8" t="n">
        <x:f>Source!H4</x:f>
        <x:v>195.5</x:v>
      </x:c>
      <x:c r="J10" s="8" t="n">
        <x:f>Source!I4</x:f>
        <x:v>221</x:v>
      </x:c>
      <x:c r="K10" s="8" t="n">
        <x:f>Source!J4</x:f>
        <x:v>238</x:v>
      </x:c>
      <x:c r="L10" s="8" t="n">
        <x:f>Source!K4</x:f>
        <x:v>228</x:v>
      </x:c>
      <x:c r="M10" s="8" t="n">
        <x:f>Source!L4</x:f>
        <x:v>218.5</x:v>
      </x:c>
      <x:c r="N10" s="8" t="n">
        <x:f>Source!M4</x:f>
        <x:v>247</x:v>
      </x:c>
      <x:c r="O10" s="8" t="n">
        <x:f>Source!N4</x:f>
        <x:v>256.5</x:v>
      </x:c>
      <x:c r="P10" s="20" t="n">
        <x:f>P8*P9</x:f>
        <x:v>247.31666666666666</x:v>
      </x:c>
      <x:c r="Q10" s="20" t="n">
        <x:f>Q8*Q9</x:f>
        <x:v>236.86666666666665</x:v>
      </x:c>
      <x:c r="R10" s="20" t="n">
        <x:f>R8*R9</x:f>
        <x:v>271.7</x:v>
      </x:c>
      <x:c r="S10" s="20" t="n">
        <x:f>S8*S9</x:f>
        <x:v>289.1166666666667</x:v>
      </x:c>
      <x:c r="T10" s="20" t="n">
        <x:f>T8*T9</x:f>
        <x:v>269.5751666666667</x:v>
      </x:c>
      <x:c r="U10" s="20" t="n">
        <x:f>U8*U9</x:f>
        <x:v>258.1846666666667</x:v>
      </x:c>
      <x:c r="V10" s="20" t="n">
        <x:f>V8*V9</x:f>
        <x:v>296.1530000000001</x:v>
      </x:c>
      <x:c r="W10" s="20" t="n">
        <x:f>W8*W9</x:f>
        <x:v>315.1371666666667</x:v>
      </x:c>
      <x:c r="X10" s="20" t="n">
        <x:f>X8*X9</x:f>
        <x:v>291.14118</x:v>
      </x:c>
      <x:c r="Y10" s="20" t="n">
        <x:f>Y8*Y9</x:f>
        <x:v>278.83944</x:v>
      </x:c>
      <x:c r="Z10" s="20" t="n">
        <x:f>Z8*Z9</x:f>
        <x:v>319.84524000000005</x:v>
      </x:c>
      <x:c r="AA10" s="20" t="n">
        <x:f>AA8*AA9</x:f>
        <x:v>340.34814000000006</x:v>
      </x:c>
    </x:row>
    <x:row r="11" ht="21" customHeight="1">
      <x:c r="A11" s="1"/>
      <x:c r="B11" s="1"/>
      <x:c r="C11" s="1" t="str">
        <x:v>Cost of goods sold</x:v>
      </x:c>
      <x:c r="D11" s="8" t="n">
        <x:f>Source!C5</x:f>
        <x:v>103.68</x:v>
      </x:c>
      <x:c r="E11" s="8" t="n">
        <x:f>Source!D5</x:f>
        <x:v>95.04</x:v>
      </x:c>
      <x:c r="F11" s="8" t="n">
        <x:f>Source!E5</x:f>
        <x:v>112.32</x:v>
      </x:c>
      <x:c r="G11" s="8" t="n">
        <x:f>Source!F5</x:f>
        <x:v>120.96</x:v>
      </x:c>
      <x:c r="H11" s="8" t="n">
        <x:f>Source!G5</x:f>
        <x:v>117.3</x:v>
      </x:c>
      <x:c r="I11" s="8" t="n">
        <x:f>Source!H5</x:f>
        <x:v>117.3</x:v>
      </x:c>
      <x:c r="J11" s="8" t="n">
        <x:f>Source!I5</x:f>
        <x:v>132.6</x:v>
      </x:c>
      <x:c r="K11" s="8" t="n">
        <x:f>Source!J5</x:f>
        <x:v>142.8</x:v>
      </x:c>
      <x:c r="L11" s="8" t="n">
        <x:f>Source!K5</x:f>
        <x:v>136.8</x:v>
      </x:c>
      <x:c r="M11" s="8" t="n">
        <x:f>Source!L5</x:f>
        <x:v>131.1</x:v>
      </x:c>
      <x:c r="N11" s="8" t="n">
        <x:f>Source!M5</x:f>
        <x:v>148.2</x:v>
      </x:c>
      <x:c r="O11" s="8" t="n">
        <x:f>Source!N5</x:f>
        <x:v>153.9</x:v>
      </x:c>
      <x:c r="P11" s="8" t="n">
        <x:f>P10*Assumptions!D7</x:f>
        <x:v>148.39</x:v>
      </x:c>
      <x:c r="Q11" s="8" t="n">
        <x:f>Q10*Assumptions!D7</x:f>
        <x:v>142.11999999999998</x:v>
      </x:c>
      <x:c r="R11" s="8" t="n">
        <x:f>R10*Assumptions!D7</x:f>
        <x:v>163.01999999999998</x:v>
      </x:c>
      <x:c r="S11" s="8" t="n">
        <x:f>S10*Assumptions!D7</x:f>
        <x:v>173.47</x:v>
      </x:c>
      <x:c r="T11" s="8" t="n">
        <x:f>T10*Assumptions!E7</x:f>
        <x:v>161.7451</x:v>
      </x:c>
      <x:c r="U11" s="8" t="n">
        <x:f>U10*Assumptions!E7</x:f>
        <x:v>154.91080000000002</x:v>
      </x:c>
      <x:c r="V11" s="8" t="n">
        <x:f>V10*Assumptions!E7</x:f>
        <x:v>177.69180000000003</x:v>
      </x:c>
      <x:c r="W11" s="8" t="n">
        <x:f>W10*Assumptions!E7</x:f>
        <x:v>189.0823</x:v>
      </x:c>
      <x:c r="X11" s="8" t="n">
        <x:f>X10*Assumptions!F7</x:f>
        <x:v>174.684708</x:v>
      </x:c>
      <x:c r="Y11" s="8" t="n">
        <x:f>Y10*Assumptions!F7</x:f>
        <x:v>167.303664</x:v>
      </x:c>
      <x:c r="Z11" s="8" t="n">
        <x:f>Z10*Assumptions!F7</x:f>
        <x:v>191.90714400000002</x:v>
      </x:c>
      <x:c r="AA11" s="8" t="n">
        <x:f>AA10*Assumptions!F7</x:f>
        <x:v>204.20888400000004</x:v>
      </x:c>
    </x:row>
    <x:row r="12" ht="21" customHeight="1">
      <x:c r="A12" s="1"/>
      <x:c r="B12" s="1"/>
      <x:c r="C12" s="27" t="str">
        <x:v>Gross profit</x:v>
      </x:c>
      <x:c r="D12" s="28" t="n">
        <x:f>Source!C6</x:f>
        <x:v>69.12</x:v>
      </x:c>
      <x:c r="E12" s="28" t="n">
        <x:f>Source!D6</x:f>
        <x:v>63.36</x:v>
      </x:c>
      <x:c r="F12" s="28" t="n">
        <x:f>Source!E6</x:f>
        <x:v>74.88</x:v>
      </x:c>
      <x:c r="G12" s="28" t="n">
        <x:f>Source!F6</x:f>
        <x:v>80.64</x:v>
      </x:c>
      <x:c r="H12" s="28" t="n">
        <x:f>Source!G6</x:f>
        <x:v>78.2</x:v>
      </x:c>
      <x:c r="I12" s="28" t="n">
        <x:f>Source!H6</x:f>
        <x:v>78.2</x:v>
      </x:c>
      <x:c r="J12" s="28" t="n">
        <x:f>Source!I6</x:f>
        <x:v>88.4</x:v>
      </x:c>
      <x:c r="K12" s="28" t="n">
        <x:f>Source!J6</x:f>
        <x:v>95.2</x:v>
      </x:c>
      <x:c r="L12" s="28" t="n">
        <x:f>Source!K6</x:f>
        <x:v>91.2</x:v>
      </x:c>
      <x:c r="M12" s="28" t="n">
        <x:f>Source!L6</x:f>
        <x:v>87.4</x:v>
      </x:c>
      <x:c r="N12" s="28" t="n">
        <x:f>Source!M6</x:f>
        <x:v>98.8</x:v>
      </x:c>
      <x:c r="O12" s="28" t="n">
        <x:f>Source!N6</x:f>
        <x:v>102.6</x:v>
      </x:c>
      <x:c r="P12" s="29" t="n">
        <x:f>P10-P11</x:f>
        <x:v>98.92666666666668</x:v>
      </x:c>
      <x:c r="Q12" s="29" t="n">
        <x:f>Q10-Q11</x:f>
        <x:v>94.74666666666667</x:v>
      </x:c>
      <x:c r="R12" s="29" t="n">
        <x:f>R10-R11</x:f>
        <x:v>108.68</x:v>
      </x:c>
      <x:c r="S12" s="29" t="n">
        <x:f>S10-S11</x:f>
        <x:v>115.64666666666668</x:v>
      </x:c>
      <x:c r="T12" s="29" t="n">
        <x:f>T10-T11</x:f>
        <x:v>107.83006666666668</x:v>
      </x:c>
      <x:c r="U12" s="29" t="n">
        <x:f>U10-U11</x:f>
        <x:v>103.27386666666669</x:v>
      </x:c>
      <x:c r="V12" s="29" t="n">
        <x:f>V10-V11</x:f>
        <x:v>118.46120000000005</x:v>
      </x:c>
      <x:c r="W12" s="29" t="n">
        <x:f>W10-W11</x:f>
        <x:v>126.0548666666667</x:v>
      </x:c>
      <x:c r="X12" s="29" t="n">
        <x:f>X10-X11</x:f>
        <x:v>116.45647200000002</x:v>
      </x:c>
      <x:c r="Y12" s="29" t="n">
        <x:f>Y10-Y11</x:f>
        <x:v>111.53577600000003</x:v>
      </x:c>
      <x:c r="Z12" s="29" t="n">
        <x:f>Z10-Z11</x:f>
        <x:v>127.93809600000003</x:v>
      </x:c>
      <x:c r="AA12" s="29" t="n">
        <x:f>AA10-AA11</x:f>
        <x:v>136.13925600000002</x:v>
      </x:c>
    </x:row>
    <x:row r="13" ht="21" customHeight="1">
      <x:c r="A13" s="1"/>
      <x:c r="B13" s="1"/>
      <x:c r="C13" s="1" t="str">
        <x:v>Total operating expenses</x:v>
      </x:c>
      <x:c r="D13" s="8" t="n">
        <x:f>Source!C7</x:f>
        <x:v>36</x:v>
      </x:c>
      <x:c r="E13" s="8" t="n">
        <x:f>Source!D7</x:f>
        <x:v>33</x:v>
      </x:c>
      <x:c r="F13" s="8" t="n">
        <x:f>Source!E7</x:f>
        <x:v>39</x:v>
      </x:c>
      <x:c r="G13" s="8" t="n">
        <x:f>Source!F7</x:f>
        <x:v>42</x:v>
      </x:c>
      <x:c r="H13" s="8" t="n">
        <x:f>Source!G7</x:f>
        <x:v>41.4</x:v>
      </x:c>
      <x:c r="I13" s="8" t="n">
        <x:f>Source!H7</x:f>
        <x:v>41.4</x:v>
      </x:c>
      <x:c r="J13" s="8" t="n">
        <x:f>Source!I7</x:f>
        <x:v>46.8</x:v>
      </x:c>
      <x:c r="K13" s="8" t="n">
        <x:f>Source!J7</x:f>
        <x:v>50.4</x:v>
      </x:c>
      <x:c r="L13" s="8" t="n">
        <x:f>Source!K7</x:f>
        <x:v>48</x:v>
      </x:c>
      <x:c r="M13" s="8" t="n">
        <x:f>Source!L7</x:f>
        <x:v>46</x:v>
      </x:c>
      <x:c r="N13" s="8" t="n">
        <x:f>Source!M7</x:f>
        <x:v>52</x:v>
      </x:c>
      <x:c r="O13" s="8" t="n">
        <x:f>Source!N7</x:f>
        <x:v>54</x:v>
      </x:c>
      <x:c r="P13" s="8" t="n">
        <x:f>P10*Assumptions!D8</x:f>
        <x:v>52.06666666666666</x:v>
      </x:c>
      <x:c r="Q13" s="8" t="n">
        <x:f>Q10*Assumptions!D8</x:f>
        <x:v>49.86666666666666</x:v>
      </x:c>
      <x:c r="R13" s="8" t="n">
        <x:f>R10*Assumptions!D8</x:f>
        <x:v>57.199999999999996</x:v>
      </x:c>
      <x:c r="S13" s="8" t="n">
        <x:f>S10*Assumptions!D8</x:f>
        <x:v>60.86666666666667</x:v>
      </x:c>
      <x:c r="T13" s="8" t="n">
        <x:f>T10*Assumptions!E8</x:f>
        <x:v>56.75266666666667</x:v>
      </x:c>
      <x:c r="U13" s="8" t="n">
        <x:f>U10*Assumptions!E8</x:f>
        <x:v>54.354666666666674</x:v>
      </x:c>
      <x:c r="V13" s="8" t="n">
        <x:f>V10*Assumptions!E8</x:f>
        <x:v>62.34800000000001</x:v>
      </x:c>
      <x:c r="W13" s="8" t="n">
        <x:f>W10*Assumptions!E8</x:f>
        <x:v>66.34466666666667</x:v>
      </x:c>
      <x:c r="X13" s="8" t="n">
        <x:f>X10*Assumptions!F8</x:f>
        <x:v>61.292880000000004</x:v>
      </x:c>
      <x:c r="Y13" s="8" t="n">
        <x:f>Y10*Assumptions!F8</x:f>
        <x:v>58.70304</x:v>
      </x:c>
      <x:c r="Z13" s="8" t="n">
        <x:f>Z10*Assumptions!F8</x:f>
        <x:v>67.33584</x:v>
      </x:c>
      <x:c r="AA13" s="8" t="n">
        <x:f>AA10*Assumptions!F8</x:f>
        <x:v>71.65224</x:v>
      </x:c>
    </x:row>
    <x:row r="14" ht="21" customHeight="1">
      <x:c r="A14" s="1"/>
      <x:c r="B14" s="1"/>
      <x:c r="C14" s="1" t="str">
        <x:v>Cash operating expenses</x:v>
      </x:c>
      <x:c r="D14" s="2" t="str">
        <x:v>n.a.</x:v>
      </x:c>
      <x:c r="E14" s="2" t="str">
        <x:v>n.a.</x:v>
      </x:c>
      <x:c r="F14" s="2" t="str">
        <x:v>n.a.</x:v>
      </x:c>
      <x:c r="G14" s="2" t="str">
        <x:v>n.a.</x:v>
      </x:c>
      <x:c r="H14" s="2" t="str">
        <x:v>n.a.</x:v>
      </x:c>
      <x:c r="I14" s="2" t="str">
        <x:v>n.a.</x:v>
      </x:c>
      <x:c r="J14" s="2" t="str">
        <x:v>n.a.</x:v>
      </x:c>
      <x:c r="K14" s="2" t="str">
        <x:v>n.a.</x:v>
      </x:c>
      <x:c r="L14" s="2" t="str">
        <x:v>n.a.</x:v>
      </x:c>
      <x:c r="M14" s="2" t="str">
        <x:v>n.a.</x:v>
      </x:c>
      <x:c r="N14" s="2" t="str">
        <x:v>n.a.</x:v>
      </x:c>
      <x:c r="O14" s="2" t="str">
        <x:v>n.a.</x:v>
      </x:c>
      <x:c r="P14" s="20" t="n">
        <x:f>P13-P15</x:f>
        <x:v>36.75752083333333</x:v>
      </x:c>
      <x:c r="Q14" s="20" t="n">
        <x:f>Q13-Q15</x:f>
        <x:v>33.95229166666666</x:v>
      </x:c>
      <x:c r="R14" s="20" t="n">
        <x:f>R13-R15</x:f>
        <x:v>40.64991666666666</x:v>
      </x:c>
      <x:c r="S14" s="20" t="n">
        <x:f>S13-S15</x:f>
        <x:v>43.615562499999996</x:v>
      </x:c>
      <x:c r="T14" s="20" t="n">
        <x:f>T13-T15</x:f>
        <x:v>38.803197708333336</x:v>
      </x:c>
      <x:c r="U14" s="20" t="n">
        <x:f>U13-U15</x:f>
        <x:v>35.74549791666668</x:v>
      </x:c>
      <x:c r="V14" s="20" t="n">
        <x:f>V13-V15</x:f>
        <x:v>43.045909166666675</x:v>
      </x:c>
      <x:c r="W14" s="20" t="n">
        <x:f>W13-W15</x:f>
        <x:v>46.278463125</x:v>
      </x:c>
      <x:c r="X14" s="20" t="n">
        <x:f>X13-X15</x:f>
        <x:v>40.468828525000006</x:v>
      </x:c>
      <x:c r="Y14" s="20" t="n">
        <x:f>Y13-Y15</x:f>
        <x:v>37.166512749999995</x:v>
      </x:c>
      <x:c r="Z14" s="20" t="n">
        <x:f>Z13-Z15</x:f>
        <x:v>45.0509569</x:v>
      </x:c>
      <x:c r="AA14" s="20" t="n">
        <x:f>AA13-AA15</x:f>
        <x:v>48.542115175000006</x:v>
      </x:c>
    </x:row>
    <x:row r="15" ht="21" customHeight="1">
      <x:c r="A15" s="1"/>
      <x:c r="B15" s="1"/>
      <x:c r="C15" s="1" t="str">
        <x:v>Depreciation expense</x:v>
      </x:c>
      <x:c r="D15" s="2" t="str">
        <x:v>n.a.</x:v>
      </x:c>
      <x:c r="E15" s="2" t="str">
        <x:v>n.a.</x:v>
      </x:c>
      <x:c r="F15" s="2" t="str">
        <x:v>n.a.</x:v>
      </x:c>
      <x:c r="G15" s="2" t="str">
        <x:v>n.a.</x:v>
      </x:c>
      <x:c r="H15" s="2" t="str">
        <x:v>n.a.</x:v>
      </x:c>
      <x:c r="I15" s="2" t="str">
        <x:v>n.a.</x:v>
      </x:c>
      <x:c r="J15" s="2" t="str">
        <x:v>n.a.</x:v>
      </x:c>
      <x:c r="K15" s="2" t="str">
        <x:v>n.a.</x:v>
      </x:c>
      <x:c r="L15" s="2" t="str">
        <x:v>n.a.</x:v>
      </x:c>
      <x:c r="M15" s="2" t="str">
        <x:v>n.a.</x:v>
      </x:c>
      <x:c r="N15" s="2" t="str">
        <x:v>n.a.</x:v>
      </x:c>
      <x:c r="O15" s="2" t="str">
        <x:v>n.a.</x:v>
      </x:c>
      <x:c r="P15" s="20" t="n">
        <x:f>P62</x:f>
        <x:v>15.309145833333334</x:v>
      </x:c>
      <x:c r="Q15" s="20" t="n">
        <x:f>Q62</x:f>
        <x:v>15.914375</x:v>
      </x:c>
      <x:c r="R15" s="20" t="n">
        <x:f>R62</x:f>
        <x:v>16.550083333333333</x:v>
      </x:c>
      <x:c r="S15" s="20" t="n">
        <x:f>S62</x:f>
        <x:v>17.251104166666668</x:v>
      </x:c>
      <x:c r="T15" s="20" t="n">
        <x:f>T62</x:f>
        <x:v>17.949468958333334</x:v>
      </x:c>
      <x:c r="U15" s="20" t="n">
        <x:f>U62</x:f>
        <x:v>18.60916875</x:v>
      </x:c>
      <x:c r="V15" s="20" t="n">
        <x:f>V62</x:f>
        <x:v>19.302090833333335</x:v>
      </x:c>
      <x:c r="W15" s="20" t="n">
        <x:f>W62</x:f>
        <x:v>20.066203541666667</x:v>
      </x:c>
      <x:c r="X15" s="20" t="n">
        <x:f>X62</x:f>
        <x:v>20.824051475</x:v>
      </x:c>
      <x:c r="Y15" s="20" t="n">
        <x:f>Y62</x:f>
        <x:v>21.536527250000002</x:v>
      </x:c>
      <x:c r="Z15" s="20" t="n">
        <x:f>Z62</x:f>
        <x:v>22.284883100000002</x:v>
      </x:c>
      <x:c r="AA15" s="20" t="n">
        <x:f>AA62</x:f>
        <x:v>23.110124825</x:v>
      </x:c>
    </x:row>
    <x:row r="16" ht="21" customHeight="1">
      <x:c r="A16" s="1"/>
      <x:c r="B16" s="1"/>
      <x:c r="C16" s="27" t="str">
        <x:v>Operating income</x:v>
      </x:c>
      <x:c r="D16" s="28" t="n">
        <x:f>Source!C8</x:f>
        <x:v>33.12</x:v>
      </x:c>
      <x:c r="E16" s="28" t="n">
        <x:f>Source!D8</x:f>
        <x:v>30.36</x:v>
      </x:c>
      <x:c r="F16" s="28" t="n">
        <x:f>Source!E8</x:f>
        <x:v>35.88</x:v>
      </x:c>
      <x:c r="G16" s="28" t="n">
        <x:f>Source!F8</x:f>
        <x:v>38.64</x:v>
      </x:c>
      <x:c r="H16" s="28" t="n">
        <x:f>Source!G8</x:f>
        <x:v>36.8</x:v>
      </x:c>
      <x:c r="I16" s="28" t="n">
        <x:f>Source!H8</x:f>
        <x:v>36.8</x:v>
      </x:c>
      <x:c r="J16" s="28" t="n">
        <x:f>Source!I8</x:f>
        <x:v>41.6</x:v>
      </x:c>
      <x:c r="K16" s="28" t="n">
        <x:f>Source!J8</x:f>
        <x:v>44.8</x:v>
      </x:c>
      <x:c r="L16" s="28" t="n">
        <x:f>Source!K8</x:f>
        <x:v>43.2</x:v>
      </x:c>
      <x:c r="M16" s="28" t="n">
        <x:f>Source!L8</x:f>
        <x:v>41.4</x:v>
      </x:c>
      <x:c r="N16" s="28" t="n">
        <x:f>Source!M8</x:f>
        <x:v>46.8</x:v>
      </x:c>
      <x:c r="O16" s="28" t="n">
        <x:f>Source!N8</x:f>
        <x:v>48.6</x:v>
      </x:c>
      <x:c r="P16" s="29" t="n">
        <x:f>P12-P13</x:f>
        <x:v>46.860000000000014</x:v>
      </x:c>
      <x:c r="Q16" s="29" t="n">
        <x:f>Q12-Q13</x:f>
        <x:v>44.88000000000001</x:v>
      </x:c>
      <x:c r="R16" s="29" t="n">
        <x:f>R12-R13</x:f>
        <x:v>51.48000000000001</x:v>
      </x:c>
      <x:c r="S16" s="29" t="n">
        <x:f>S12-S13</x:f>
        <x:v>54.78000000000001</x:v>
      </x:c>
      <x:c r="T16" s="29" t="n">
        <x:f>T12-T13</x:f>
        <x:v>51.07740000000001</x:v>
      </x:c>
      <x:c r="U16" s="29" t="n">
        <x:f>U12-U13</x:f>
        <x:v>48.91920000000002</x:v>
      </x:c>
      <x:c r="V16" s="29" t="n">
        <x:f>V12-V13</x:f>
        <x:v>56.113200000000035</x:v>
      </x:c>
      <x:c r="W16" s="29" t="n">
        <x:f>W12-W13</x:f>
        <x:v>59.71020000000003</x:v>
      </x:c>
      <x:c r="X16" s="29" t="n">
        <x:f>X12-X13</x:f>
        <x:v>55.163592000000016</x:v>
      </x:c>
      <x:c r="Y16" s="29" t="n">
        <x:f>Y12-Y13</x:f>
        <x:v>52.832736000000025</x:v>
      </x:c>
      <x:c r="Z16" s="29" t="n">
        <x:f>Z12-Z13</x:f>
        <x:v>60.602256000000025</x:v>
      </x:c>
      <x:c r="AA16" s="29" t="n">
        <x:f>AA12-AA13</x:f>
        <x:v>64.48701600000001</x:v>
      </x:c>
    </x:row>
    <x:row r="17" ht="21" customHeight="1">
      <x:c r="A17" s="1"/>
      <x:c r="B17" s="1"/>
      <x:c r="C17" s="1" t="str">
        <x:v>Interest expense</x:v>
      </x:c>
      <x:c r="D17" s="8" t="n">
        <x:f>Source!C9</x:f>
        <x:v>6</x:v>
      </x:c>
      <x:c r="E17" s="8" t="n">
        <x:f>Source!D9</x:f>
        <x:v>5.5</x:v>
      </x:c>
      <x:c r="F17" s="8" t="n">
        <x:f>Source!E9</x:f>
        <x:v>6.5</x:v>
      </x:c>
      <x:c r="G17" s="8" t="n">
        <x:f>Source!F9</x:f>
        <x:v>7</x:v>
      </x:c>
      <x:c r="H17" s="8" t="n">
        <x:f>Source!G9</x:f>
        <x:v>5.06</x:v>
      </x:c>
      <x:c r="I17" s="8" t="n">
        <x:f>Source!H9</x:f>
        <x:v>5.06</x:v>
      </x:c>
      <x:c r="J17" s="8" t="n">
        <x:f>Source!I9</x:f>
        <x:v>5.72</x:v>
      </x:c>
      <x:c r="K17" s="8" t="n">
        <x:f>Source!J9</x:f>
        <x:v>6.16</x:v>
      </x:c>
      <x:c r="L17" s="8" t="n">
        <x:f>Source!K9</x:f>
        <x:v>4.8</x:v>
      </x:c>
      <x:c r="M17" s="8" t="n">
        <x:f>Source!L9</x:f>
        <x:v>4.6</x:v>
      </x:c>
      <x:c r="N17" s="8" t="n">
        <x:f>Source!M9</x:f>
        <x:v>5.2</x:v>
      </x:c>
      <x:c r="O17" s="8" t="n">
        <x:f>Source!N9</x:f>
        <x:v>5.4</x:v>
      </x:c>
      <x:c r="P17" s="20" t="n">
        <x:f>P67*P68/4</x:f>
        <x:v>4.841549295774648</x:v>
      </x:c>
      <x:c r="Q17" s="20" t="n">
        <x:f>Q67*Q68/4</x:f>
        <x:v>4.665492957746479</x:v>
      </x:c>
      <x:c r="R17" s="20" t="n">
        <x:f>R67*R68/4</x:f>
        <x:v>4.48943661971831</x:v>
      </x:c>
      <x:c r="S17" s="20" t="n">
        <x:f>S67*S68/4</x:f>
        <x:v>4.313380281690141</x:v>
      </x:c>
      <x:c r="T17" s="20" t="n">
        <x:f>T67*T68/4</x:f>
        <x:v>4.137323943661972</x:v>
      </x:c>
      <x:c r="U17" s="20" t="n">
        <x:f>U67*U68/4</x:f>
        <x:v>3.961267605633803</x:v>
      </x:c>
      <x:c r="V17" s="20" t="n">
        <x:f>V67*V68/4</x:f>
        <x:v>3.785211267605634</x:v>
      </x:c>
      <x:c r="W17" s="20" t="n">
        <x:f>W67*W68/4</x:f>
        <x:v>3.609154929577465</x:v>
      </x:c>
      <x:c r="X17" s="20" t="n">
        <x:f>X67*X68/4</x:f>
        <x:v>3.433098591549296</x:v>
      </x:c>
      <x:c r="Y17" s="20" t="n">
        <x:f>Y67*Y68/4</x:f>
        <x:v>3.257042253521127</x:v>
      </x:c>
      <x:c r="Z17" s="20" t="n">
        <x:f>Z67*Z68/4</x:f>
        <x:v>3.080985915492958</x:v>
      </x:c>
      <x:c r="AA17" s="20" t="n">
        <x:f>AA67*AA68/4</x:f>
        <x:v>2.904929577464789</x:v>
      </x:c>
    </x:row>
    <x:row r="18" ht="21" customHeight="1">
      <x:c r="A18" s="1"/>
      <x:c r="B18" s="1"/>
      <x:c r="C18" s="1" t="str">
        <x:v>Earnings before tax</x:v>
      </x:c>
      <x:c r="D18" s="8" t="n">
        <x:f>Source!C10</x:f>
        <x:v>27.12</x:v>
      </x:c>
      <x:c r="E18" s="8" t="n">
        <x:f>Source!D10</x:f>
        <x:v>24.86</x:v>
      </x:c>
      <x:c r="F18" s="8" t="n">
        <x:f>Source!E10</x:f>
        <x:v>29.38</x:v>
      </x:c>
      <x:c r="G18" s="8" t="n">
        <x:f>Source!F10</x:f>
        <x:v>31.64</x:v>
      </x:c>
      <x:c r="H18" s="8" t="n">
        <x:f>Source!G10</x:f>
        <x:v>31.74</x:v>
      </x:c>
      <x:c r="I18" s="8" t="n">
        <x:f>Source!H10</x:f>
        <x:v>31.74</x:v>
      </x:c>
      <x:c r="J18" s="8" t="n">
        <x:f>Source!I10</x:f>
        <x:v>35.88</x:v>
      </x:c>
      <x:c r="K18" s="8" t="n">
        <x:f>Source!J10</x:f>
        <x:v>38.64</x:v>
      </x:c>
      <x:c r="L18" s="8" t="n">
        <x:f>Source!K10</x:f>
        <x:v>38.4</x:v>
      </x:c>
      <x:c r="M18" s="8" t="n">
        <x:f>Source!L10</x:f>
        <x:v>36.8</x:v>
      </x:c>
      <x:c r="N18" s="8" t="n">
        <x:f>Source!M10</x:f>
        <x:v>41.6</x:v>
      </x:c>
      <x:c r="O18" s="8" t="n">
        <x:f>Source!N10</x:f>
        <x:v>43.2</x:v>
      </x:c>
      <x:c r="P18" s="20" t="n">
        <x:f>P16-P17</x:f>
        <x:v>42.018450704225366</x:v>
      </x:c>
      <x:c r="Q18" s="20" t="n">
        <x:f>Q16-Q17</x:f>
        <x:v>40.21450704225353</x:v>
      </x:c>
      <x:c r="R18" s="20" t="n">
        <x:f>R16-R17</x:f>
        <x:v>46.9905633802817</x:v>
      </x:c>
      <x:c r="S18" s="20" t="n">
        <x:f>S16-S17</x:f>
        <x:v>50.466619718309865</x:v>
      </x:c>
      <x:c r="T18" s="20" t="n">
        <x:f>T16-T17</x:f>
        <x:v>46.94007605633804</x:v>
      </x:c>
      <x:c r="U18" s="20" t="n">
        <x:f>U16-U17</x:f>
        <x:v>44.95793239436622</x:v>
      </x:c>
      <x:c r="V18" s="20" t="n">
        <x:f>V16-V17</x:f>
        <x:v>52.3279887323944</x:v>
      </x:c>
      <x:c r="W18" s="20" t="n">
        <x:f>W16-W17</x:f>
        <x:v>56.101045070422565</x:v>
      </x:c>
      <x:c r="X18" s="20" t="n">
        <x:f>X16-X17</x:f>
        <x:v>51.73049340845072</x:v>
      </x:c>
      <x:c r="Y18" s="20" t="n">
        <x:f>Y16-Y17</x:f>
        <x:v>49.5756937464789</x:v>
      </x:c>
      <x:c r="Z18" s="20" t="n">
        <x:f>Z16-Z17</x:f>
        <x:v>57.521270084507066</x:v>
      </x:c>
      <x:c r="AA18" s="20" t="n">
        <x:f>AA16-AA17</x:f>
        <x:v>61.58208642253522</x:v>
      </x:c>
    </x:row>
    <x:row r="19" ht="21" customHeight="1">
      <x:c r="A19" s="1"/>
      <x:c r="B19" s="1"/>
      <x:c r="C19" s="1" t="str">
        <x:v>Tax expense</x:v>
      </x:c>
      <x:c r="D19" s="8" t="n">
        <x:f>Source!C11</x:f>
        <x:v>6.72</x:v>
      </x:c>
      <x:c r="E19" s="8" t="n">
        <x:f>Source!D11</x:f>
        <x:v>6.16</x:v>
      </x:c>
      <x:c r="F19" s="8" t="n">
        <x:f>Source!E11</x:f>
        <x:v>7.28</x:v>
      </x:c>
      <x:c r="G19" s="8" t="n">
        <x:f>Source!F11</x:f>
        <x:v>7.84</x:v>
      </x:c>
      <x:c r="H19" s="8" t="n">
        <x:f>Source!G11</x:f>
        <x:v>7.82</x:v>
      </x:c>
      <x:c r="I19" s="8" t="n">
        <x:f>Source!H11</x:f>
        <x:v>7.82</x:v>
      </x:c>
      <x:c r="J19" s="8" t="n">
        <x:f>Source!I11</x:f>
        <x:v>8.84</x:v>
      </x:c>
      <x:c r="K19" s="8" t="n">
        <x:f>Source!J11</x:f>
        <x:v>9.52</x:v>
      </x:c>
      <x:c r="L19" s="8" t="n">
        <x:f>Source!K11</x:f>
        <x:v>9.6</x:v>
      </x:c>
      <x:c r="M19" s="8" t="n">
        <x:f>Source!L11</x:f>
        <x:v>9.2</x:v>
      </x:c>
      <x:c r="N19" s="8" t="n">
        <x:f>Source!M11</x:f>
        <x:v>10.4</x:v>
      </x:c>
      <x:c r="O19" s="8" t="n">
        <x:f>Source!N11</x:f>
        <x:v>10.8</x:v>
      </x:c>
      <x:c r="P19" s="8" t="n">
        <x:f>MAX(P18,0)*Assumptions!D10</x:f>
        <x:v>10.504612676056341</x:v>
      </x:c>
      <x:c r="Q19" s="8" t="n">
        <x:f>MAX(Q18,0)*Assumptions!D10</x:f>
        <x:v>10.053626760563382</x:v>
      </x:c>
      <x:c r="R19" s="8" t="n">
        <x:f>MAX(R18,0)*Assumptions!D10</x:f>
        <x:v>11.747640845070425</x:v>
      </x:c>
      <x:c r="S19" s="8" t="n">
        <x:f>MAX(S18,0)*Assumptions!D10</x:f>
        <x:v>12.616654929577466</x:v>
      </x:c>
      <x:c r="T19" s="8" t="n">
        <x:f>MAX(T18,0)*Assumptions!E10</x:f>
        <x:v>11.73501901408451</x:v>
      </x:c>
      <x:c r="U19" s="8" t="n">
        <x:f>MAX(U18,0)*Assumptions!E10</x:f>
        <x:v>11.239483098591554</x:v>
      </x:c>
      <x:c r="V19" s="8" t="n">
        <x:f>MAX(V18,0)*Assumptions!E10</x:f>
        <x:v>13.0819971830986</x:v>
      </x:c>
      <x:c r="W19" s="8" t="n">
        <x:f>MAX(W18,0)*Assumptions!E10</x:f>
        <x:v>14.025261267605641</x:v>
      </x:c>
      <x:c r="X19" s="8" t="n">
        <x:f>MAX(X18,0)*Assumptions!F10</x:f>
        <x:v>12.93262335211268</x:v>
      </x:c>
      <x:c r="Y19" s="8" t="n">
        <x:f>MAX(Y18,0)*Assumptions!F10</x:f>
        <x:v>12.393923436619724</x:v>
      </x:c>
      <x:c r="Z19" s="8" t="n">
        <x:f>MAX(Z18,0)*Assumptions!F10</x:f>
        <x:v>14.380317521126766</x:v>
      </x:c>
      <x:c r="AA19" s="8" t="n">
        <x:f>MAX(AA18,0)*Assumptions!F10</x:f>
        <x:v>15.395521605633805</x:v>
      </x:c>
    </x:row>
    <x:row r="20" ht="21" customHeight="1">
      <x:c r="A20" s="1"/>
      <x:c r="B20" s="1"/>
      <x:c r="C20" s="27" t="str">
        <x:v>Net income</x:v>
      </x:c>
      <x:c r="D20" s="28" t="n">
        <x:f>Source!C12</x:f>
        <x:v>20.4</x:v>
      </x:c>
      <x:c r="E20" s="28" t="n">
        <x:f>Source!D12</x:f>
        <x:v>18.7</x:v>
      </x:c>
      <x:c r="F20" s="28" t="n">
        <x:f>Source!E12</x:f>
        <x:v>22.1</x:v>
      </x:c>
      <x:c r="G20" s="28" t="n">
        <x:f>Source!F12</x:f>
        <x:v>23.8</x:v>
      </x:c>
      <x:c r="H20" s="28" t="n">
        <x:f>Source!G12</x:f>
        <x:v>23.92</x:v>
      </x:c>
      <x:c r="I20" s="28" t="n">
        <x:f>Source!H12</x:f>
        <x:v>23.92</x:v>
      </x:c>
      <x:c r="J20" s="28" t="n">
        <x:f>Source!I12</x:f>
        <x:v>27.04</x:v>
      </x:c>
      <x:c r="K20" s="28" t="n">
        <x:f>Source!J12</x:f>
        <x:v>29.12</x:v>
      </x:c>
      <x:c r="L20" s="28" t="n">
        <x:f>Source!K12</x:f>
        <x:v>28.8</x:v>
      </x:c>
      <x:c r="M20" s="28" t="n">
        <x:f>Source!L12</x:f>
        <x:v>27.6</x:v>
      </x:c>
      <x:c r="N20" s="28" t="n">
        <x:f>Source!M12</x:f>
        <x:v>31.2</x:v>
      </x:c>
      <x:c r="O20" s="28" t="n">
        <x:f>Source!N12</x:f>
        <x:v>32.4</x:v>
      </x:c>
      <x:c r="P20" s="29" t="n">
        <x:f>P18-P19</x:f>
        <x:v>31.513838028169026</x:v>
      </x:c>
      <x:c r="Q20" s="29" t="n">
        <x:f>Q18-Q19</x:f>
        <x:v>30.160880281690147</x:v>
      </x:c>
      <x:c r="R20" s="29" t="n">
        <x:f>R18-R19</x:f>
        <x:v>35.24292253521128</x:v>
      </x:c>
      <x:c r="S20" s="29" t="n">
        <x:f>S18-S19</x:f>
        <x:v>37.8499647887324</x:v>
      </x:c>
      <x:c r="T20" s="29" t="n">
        <x:f>T18-T19</x:f>
        <x:v>35.20505704225353</x:v>
      </x:c>
      <x:c r="U20" s="29" t="n">
        <x:f>U18-U19</x:f>
        <x:v>33.71844929577466</x:v>
      </x:c>
      <x:c r="V20" s="29" t="n">
        <x:f>V18-V19</x:f>
        <x:v>39.2459915492958</x:v>
      </x:c>
      <x:c r="W20" s="29" t="n">
        <x:f>W18-W19</x:f>
        <x:v>42.07578380281692</x:v>
      </x:c>
      <x:c r="X20" s="29" t="n">
        <x:f>X18-X19</x:f>
        <x:v>38.79787005633804</x:v>
      </x:c>
      <x:c r="Y20" s="29" t="n">
        <x:f>Y18-Y19</x:f>
        <x:v>37.181770309859175</x:v>
      </x:c>
      <x:c r="Z20" s="29" t="n">
        <x:f>Z18-Z19</x:f>
        <x:v>43.140952563380296</x:v>
      </x:c>
      <x:c r="AA20" s="29" t="n">
        <x:f>AA18-AA19</x:f>
        <x:v>46.18656481690142</x:v>
      </x:c>
    </x:row>
    <x:row r="21" ht="21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A22" s="1"/>
      <x:c r="B22" s="1"/>
      <x:c r="C22" s="15" t="str">
        <x:v>Balance sheet</x:v>
      </x:c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  <x:c r="AA22" s="16"/>
    </x:row>
    <x:row r="23" ht="21" customHeight="1">
      <x:c r="A23" s="1"/>
      <x:c r="B23" s="1"/>
      <x:c r="C23" s="1" t="str">
        <x:v>Cash</x:v>
      </x:c>
      <x:c r="D23" s="8" t="n">
        <x:f>Source!C13</x:f>
        <x:v>51</x:v>
      </x:c>
      <x:c r="E23" s="8" t="n">
        <x:f>Source!D13</x:f>
        <x:v>54.825</x:v>
      </x:c>
      <x:c r="F23" s="8" t="n">
        <x:f>Source!E13</x:f>
        <x:v>56.21875</x:v>
      </x:c>
      <x:c r="G23" s="8" t="n">
        <x:f>Source!F13</x:f>
        <x:v>59.8</x:v>
      </x:c>
      <x:c r="H23" s="8" t="n">
        <x:f>Source!G13</x:f>
        <x:v>68.02</x:v>
      </x:c>
      <x:c r="I23" s="8" t="n">
        <x:f>Source!H13</x:f>
        <x:v>97.115</x:v>
      </x:c>
      <x:c r="J23" s="8" t="n">
        <x:f>Source!I13</x:f>
        <x:v>99.33625</x:v>
      </x:c>
      <x:c r="K23" s="8" t="n">
        <x:f>Source!J13</x:f>
        <x:v>130.8</x:v>
      </x:c>
      <x:c r="L23" s="8" t="n">
        <x:f>Source!K13</x:f>
        <x:v>134.4</x:v>
      </x:c>
      <x:c r="M23" s="8" t="n">
        <x:f>Source!L13</x:f>
        <x:v>170.85</x:v>
      </x:c>
      <x:c r="N23" s="8" t="n">
        <x:f>Source!M13</x:f>
        <x:v>173.4375</x:v>
      </x:c>
      <x:c r="O23" s="8" t="n">
        <x:f>Source!N13</x:f>
        <x:v>210.8</x:v>
      </x:c>
      <x:c r="P23" s="20" t="n">
        <x:f>P55</x:f>
        <x:v>262.43637213989064</x:v>
      </x:c>
      <x:c r="Q23" s="20" t="n">
        <x:f>Q55</x:f>
        <x:v>241.19178986783024</x:v>
      </x:c>
      <x:c r="R23" s="20" t="n">
        <x:f>R55</x:f>
        <x:v>236.01291167840378</x:v>
      </x:c>
      <x:c r="S23" s="20" t="n">
        <x:f>S55</x:f>
        <x:v>226.84540038688928</x:v>
      </x:c>
      <x:c r="T23" s="20" t="n">
        <x:f>T55</x:f>
        <x:v>292.642089967723</x:v>
      </x:c>
      <x:c r="U23" s="20" t="n">
        <x:f>U55</x:f>
        <x:v>274.9924283033527</x:v>
      </x:c>
      <x:c r="V23" s="20" t="n">
        <x:f>V55</x:f>
        <x:v>272.56615706279337</x:v>
      </x:c>
      <x:c r="W23" s="20" t="n">
        <x:f>W55</x:f>
        <x:v>265.78039193814124</x:v>
      </x:c>
      <x:c r="X23" s="20" t="n">
        <x:f>X55</x:f>
        <x:v>342.6483192719484</x:v>
      </x:c>
      <x:c r="Y23" s="20" t="n">
        <x:f>Y55</x:f>
        <x:v>326.7911547448511</x:v>
      </x:c>
      <x:c r="Z23" s="20" t="n">
        <x:f>Z55</x:f>
        <x:v>327.36468849518786</x:v>
      </x:c>
      <x:c r="AA23" s="20" t="n">
        <x:f>AA55</x:f>
        <x:v>323.21940547042266</x:v>
      </x:c>
    </x:row>
    <x:row r="24" ht="21" customHeight="1">
      <x:c r="A24" s="1"/>
      <x:c r="B24" s="1"/>
      <x:c r="C24" s="1" t="str">
        <x:v>Accounts receivable</x:v>
      </x:c>
      <x:c r="D24" s="8" t="n">
        <x:f>Source!C14</x:f>
        <x:v>93.5</x:v>
      </x:c>
      <x:c r="E24" s="8" t="n">
        <x:f>Source!D14</x:f>
        <x:v>100.1</x:v>
      </x:c>
      <x:c r="F24" s="8" t="n">
        <x:f>Source!E14</x:f>
        <x:v>103.4</x:v>
      </x:c>
      <x:c r="G24" s="8" t="n">
        <x:f>Source!F14</x:f>
        <x:v>110</x:v>
      </x:c>
      <x:c r="H24" s="8" t="n">
        <x:f>Source!G14</x:f>
        <x:v>111.8</x:v>
      </x:c>
      <x:c r="I24" s="8" t="n">
        <x:f>Source!H14</x:f>
        <x:v>119.6</x:v>
      </x:c>
      <x:c r="J24" s="8" t="n">
        <x:f>Source!I14</x:f>
        <x:v>123.5</x:v>
      </x:c>
      <x:c r="K24" s="8" t="n">
        <x:f>Source!J14</x:f>
        <x:v>130</x:v>
      </x:c>
      <x:c r="L24" s="8" t="n">
        <x:f>Source!K14</x:f>
        <x:v>126</x:v>
      </x:c>
      <x:c r="M24" s="8" t="n">
        <x:f>Source!L14</x:f>
        <x:v>136.5</x:v>
      </x:c>
      <x:c r="N24" s="8" t="n">
        <x:f>Source!M14</x:f>
        <x:v>142.5</x:v>
      </x:c>
      <x:c r="O24" s="8" t="n">
        <x:f>Source!N14</x:f>
        <x:v>150</x:v>
      </x:c>
      <x:c r="P24" s="8" t="n">
        <x:f>P10/P6*Assumptions!D22</x:f>
        <x:v>135.17307692307693</x:v>
      </x:c>
      <x:c r="Q24" s="8" t="n">
        <x:f>Q10/Q6*Assumptions!E22</x:f>
        <x:v>147.97391304347823</x:v>
      </x:c>
      <x:c r="R24" s="8" t="n">
        <x:f>R10/R6*Assumptions!F22</x:f>
        <x:v>156.75</x:v>
      </x:c>
      <x:c r="S24" s="8" t="n">
        <x:f>S10/S6*Assumptions!G22</x:f>
        <x:v>169.07407407407405</x:v>
      </x:c>
      <x:c r="T24" s="8" t="n">
        <x:f>T10/T6*Assumptions!D22</x:f>
        <x:v>148.97575000000003</x:v>
      </x:c>
      <x:c r="U24" s="8" t="n">
        <x:f>U10/U6*Assumptions!E22</x:f>
        <x:v>161.2915652173913</x:v>
      </x:c>
      <x:c r="V24" s="8" t="n">
        <x:f>V10/V6*Assumptions!F22</x:f>
        <x:v>170.85750000000004</x:v>
      </x:c>
      <x:c r="W24" s="8" t="n">
        <x:f>W10/W6*Assumptions!G22</x:f>
        <x:v>184.29074074074074</x:v>
      </x:c>
      <x:c r="X24" s="8" t="n">
        <x:f>X10/X6*Assumptions!D22</x:f>
        <x:v>160.89381000000003</x:v>
      </x:c>
      <x:c r="Y24" s="8" t="n">
        <x:f>Y10/Y6*Assumptions!E22</x:f>
        <x:v>174.19489043478262</x:v>
      </x:c>
      <x:c r="Z24" s="8" t="n">
        <x:f>Z10/Z6*Assumptions!F22</x:f>
        <x:v>184.5261</x:v>
      </x:c>
      <x:c r="AA24" s="8" t="n">
        <x:f>AA10/AA6*Assumptions!G22</x:f>
        <x:v>199.03400000000002</x:v>
      </x:c>
    </x:row>
    <x:row r="25" ht="21" customHeight="1">
      <x:c r="A25" s="1"/>
      <x:c r="B25" s="1"/>
      <x:c r="C25" s="1" t="str">
        <x:v>Inventory</x:v>
      </x:c>
      <x:c r="D25" s="8" t="n">
        <x:f>Source!C15</x:f>
        <x:v>127.5</x:v>
      </x:c>
      <x:c r="E25" s="8" t="n">
        <x:f>Source!D15</x:f>
        <x:v>136.5</x:v>
      </x:c>
      <x:c r="F25" s="8" t="n">
        <x:f>Source!E15</x:f>
        <x:v>141</x:v>
      </x:c>
      <x:c r="G25" s="8" t="n">
        <x:f>Source!F15</x:f>
        <x:v>150</x:v>
      </x:c>
      <x:c r="H25" s="8" t="n">
        <x:f>Source!G15</x:f>
        <x:v>154.8</x:v>
      </x:c>
      <x:c r="I25" s="8" t="n">
        <x:f>Source!H15</x:f>
        <x:v>165.6</x:v>
      </x:c>
      <x:c r="J25" s="8" t="n">
        <x:f>Source!I15</x:f>
        <x:v>171</x:v>
      </x:c>
      <x:c r="K25" s="8" t="n">
        <x:f>Source!J15</x:f>
        <x:v>180</x:v>
      </x:c>
      <x:c r="L25" s="8" t="n">
        <x:f>Source!K15</x:f>
        <x:v>168</x:v>
      </x:c>
      <x:c r="M25" s="8" t="n">
        <x:f>Source!L15</x:f>
        <x:v>182</x:v>
      </x:c>
      <x:c r="N25" s="8" t="n">
        <x:f>Source!M15</x:f>
        <x:v>190</x:v>
      </x:c>
      <x:c r="O25" s="8" t="n">
        <x:f>Source!N15</x:f>
        <x:v>200</x:v>
      </x:c>
      <x:c r="P25" s="8" t="n">
        <x:f>P11/P6*Assumptions!D23</x:f>
        <x:v>180.2307692307692</x:v>
      </x:c>
      <x:c r="Q25" s="8" t="n">
        <x:f>Q11/Q6*Assumptions!E23</x:f>
        <x:v>197.29855072463764</x:v>
      </x:c>
      <x:c r="R25" s="8" t="n">
        <x:f>R11/R6*Assumptions!F23</x:f>
        <x:v>209</x:v>
      </x:c>
      <x:c r="S25" s="8" t="n">
        <x:f>S11/S6*Assumptions!G23</x:f>
        <x:v>225.4320987654321</x:v>
      </x:c>
      <x:c r="T25" s="8" t="n">
        <x:f>T11/T6*Assumptions!D23</x:f>
        <x:v>198.63433333333333</x:v>
      </x:c>
      <x:c r="U25" s="8" t="n">
        <x:f>U11/U6*Assumptions!E23</x:f>
        <x:v>215.0554202898551</x:v>
      </x:c>
      <x:c r="V25" s="8" t="n">
        <x:f>V11/V6*Assumptions!F23</x:f>
        <x:v>227.81000000000006</x:v>
      </x:c>
      <x:c r="W25" s="8" t="n">
        <x:f>W11/W6*Assumptions!G23</x:f>
        <x:v>245.720987654321</x:v>
      </x:c>
      <x:c r="X25" s="8" t="n">
        <x:f>X11/X6*Assumptions!D23</x:f>
        <x:v>214.52507999999997</x:v>
      </x:c>
      <x:c r="Y25" s="8" t="n">
        <x:f>Y11/Y6*Assumptions!E23</x:f>
        <x:v>232.2598539130435</x:v>
      </x:c>
      <x:c r="Z25" s="8" t="n">
        <x:f>Z11/Z6*Assumptions!F23</x:f>
        <x:v>246.03480000000005</x:v>
      </x:c>
      <x:c r="AA25" s="8" t="n">
        <x:f>AA11/AA6*Assumptions!G23</x:f>
        <x:v>265.3786666666667</x:v>
      </x:c>
    </x:row>
    <x:row r="26" ht="21" customHeight="1">
      <x:c r="A26" s="1"/>
      <x:c r="B26" s="1"/>
      <x:c r="C26" s="27" t="str">
        <x:v>Total current assets</x:v>
      </x:c>
      <x:c r="D26" s="28" t="n">
        <x:f>Source!C16</x:f>
        <x:v>272</x:v>
      </x:c>
      <x:c r="E26" s="28" t="n">
        <x:f>Source!D16</x:f>
        <x:v>291.425</x:v>
      </x:c>
      <x:c r="F26" s="28" t="n">
        <x:f>Source!E16</x:f>
        <x:v>300.61875</x:v>
      </x:c>
      <x:c r="G26" s="28" t="n">
        <x:f>Source!F16</x:f>
        <x:v>319.8</x:v>
      </x:c>
      <x:c r="H26" s="28" t="n">
        <x:f>Source!G16</x:f>
        <x:v>334.62</x:v>
      </x:c>
      <x:c r="I26" s="28" t="n">
        <x:f>Source!H16</x:f>
        <x:v>382.315</x:v>
      </x:c>
      <x:c r="J26" s="28" t="n">
        <x:f>Source!I16</x:f>
        <x:v>393.83625</x:v>
      </x:c>
      <x:c r="K26" s="28" t="n">
        <x:f>Source!J16</x:f>
        <x:v>440.8</x:v>
      </x:c>
      <x:c r="L26" s="28" t="n">
        <x:f>Source!K16</x:f>
        <x:v>428.4</x:v>
      </x:c>
      <x:c r="M26" s="28" t="n">
        <x:f>Source!L16</x:f>
        <x:v>489.35</x:v>
      </x:c>
      <x:c r="N26" s="28" t="n">
        <x:f>Source!M16</x:f>
        <x:v>505.9375</x:v>
      </x:c>
      <x:c r="O26" s="28" t="n">
        <x:f>Source!N16</x:f>
        <x:v>560.8</x:v>
      </x:c>
      <x:c r="P26" s="29" t="n">
        <x:f>SUM(P23:P25)</x:f>
        <x:v>577.8402182937367</x:v>
      </x:c>
      <x:c r="Q26" s="29" t="n">
        <x:f>SUM(Q23:Q25)</x:f>
        <x:v>586.4642536359461</x:v>
      </x:c>
      <x:c r="R26" s="29" t="n">
        <x:f>SUM(R23:R25)</x:f>
        <x:v>601.7629116784037</x:v>
      </x:c>
      <x:c r="S26" s="29" t="n">
        <x:f>SUM(S23:S25)</x:f>
        <x:v>621.3515732263954</x:v>
      </x:c>
      <x:c r="T26" s="29" t="n">
        <x:f>SUM(T23:T25)</x:f>
        <x:v>640.2521733010564</x:v>
      </x:c>
      <x:c r="U26" s="29" t="n">
        <x:f>SUM(U23:U25)</x:f>
        <x:v>651.3394138105991</x:v>
      </x:c>
      <x:c r="V26" s="29" t="n">
        <x:f>SUM(V23:V25)</x:f>
        <x:v>671.2336570627934</x:v>
      </x:c>
      <x:c r="W26" s="29" t="n">
        <x:f>SUM(W23:W25)</x:f>
        <x:v>695.792120333203</x:v>
      </x:c>
      <x:c r="X26" s="29" t="n">
        <x:f>SUM(X23:X25)</x:f>
        <x:v>718.0672092719484</x:v>
      </x:c>
      <x:c r="Y26" s="29" t="n">
        <x:f>SUM(Y23:Y25)</x:f>
        <x:v>733.2458990926772</x:v>
      </x:c>
      <x:c r="Z26" s="29" t="n">
        <x:f>SUM(Z23:Z25)</x:f>
        <x:v>757.9255884951879</x:v>
      </x:c>
      <x:c r="AA26" s="29" t="n">
        <x:f>SUM(AA23:AA25)</x:f>
        <x:v>787.6320721370894</x:v>
      </x:c>
    </x:row>
    <x:row r="27" ht="21" customHeight="1">
      <x:c r="A27" s="1"/>
      <x:c r="B27" s="1"/>
      <x:c r="C27" s="1" t="str">
        <x:v>Net property, plant and equipment</x:v>
      </x:c>
      <x:c r="D27" s="8" t="n">
        <x:f>Source!C17</x:f>
        <x:v>425</x:v>
      </x:c>
      <x:c r="E27" s="8" t="n">
        <x:f>Source!D17</x:f>
        <x:v>455</x:v>
      </x:c>
      <x:c r="F27" s="8" t="n">
        <x:f>Source!E17</x:f>
        <x:v>470</x:v>
      </x:c>
      <x:c r="G27" s="8" t="n">
        <x:f>Source!F17</x:f>
        <x:v>500</x:v>
      </x:c>
      <x:c r="H27" s="8" t="n">
        <x:f>Source!G17</x:f>
        <x:v>473</x:v>
      </x:c>
      <x:c r="I27" s="8" t="n">
        <x:f>Source!H17</x:f>
        <x:v>506</x:v>
      </x:c>
      <x:c r="J27" s="8" t="n">
        <x:f>Source!I17</x:f>
        <x:v>522.5</x:v>
      </x:c>
      <x:c r="K27" s="8" t="n">
        <x:f>Source!J17</x:f>
        <x:v>550</x:v>
      </x:c>
      <x:c r="L27" s="8" t="n">
        <x:f>Source!K17</x:f>
        <x:v>504</x:v>
      </x:c>
      <x:c r="M27" s="8" t="n">
        <x:f>Source!L17</x:f>
        <x:v>546</x:v>
      </x:c>
      <x:c r="N27" s="8" t="n">
        <x:f>Source!M17</x:f>
        <x:v>570</x:v>
      </x:c>
      <x:c r="O27" s="8" t="n">
        <x:f>Source!N17</x:f>
        <x:v>600</x:v>
      </x:c>
      <x:c r="P27" s="20" t="n">
        <x:f>P58+P59-P62</x:f>
        <x:v>609.4225208333334</x:v>
      </x:c>
      <x:c r="Q27" s="20" t="n">
        <x:f>Q58+Q59-Q62</x:f>
        <x:v>617.1948125</x:v>
      </x:c>
      <x:c r="R27" s="20" t="n">
        <x:f>R58+R59-R62</x:f>
        <x:v>627.8147291666667</x:v>
      </x:c>
      <x:c r="S27" s="20" t="n">
        <x:f>S58+S59-S62</x:f>
        <x:v>639.4752916666666</x:v>
      </x:c>
      <x:c r="T27" s="20" t="n">
        <x:f>T58+T59-T62</x:f>
        <x:v>648.483339375</x:v>
      </x:c>
      <x:c r="U27" s="20" t="n">
        <x:f>U58+U59-U62</x:f>
        <x:v>655.6926372916668</x:v>
      </x:c>
      <x:c r="V27" s="20" t="n">
        <x:f>V58+V59-V62</x:f>
        <x:v>666.0058464583335</x:v>
      </x:c>
      <x:c r="W27" s="20" t="n">
        <x:f>W58+W59-W62</x:f>
        <x:v>677.4533595833335</x:v>
      </x:c>
      <x:c r="X27" s="20" t="n">
        <x:f>X58+X59-X62</x:f>
        <x:v>685.7434261083334</x:v>
      </x:c>
      <x:c r="Y27" s="20" t="n">
        <x:f>Y58+Y59-Y62</x:f>
        <x:v>692.0908428583335</x:v>
      </x:c>
      <x:c r="Z27" s="20" t="n">
        <x:f>Z58+Z59-Z62</x:f>
        <x:v>701.7904837583335</x:v>
      </x:c>
      <x:c r="AA27" s="20" t="n">
        <x:f>AA58+AA59-AA62</x:f>
        <x:v>712.7151729333335</x:v>
      </x:c>
    </x:row>
    <x:row r="28" ht="21" customHeight="1">
      <x:c r="A28" s="1"/>
      <x:c r="B28" s="1"/>
      <x:c r="C28" s="27" t="str">
        <x:v>Total assets</x:v>
      </x:c>
      <x:c r="D28" s="28" t="n">
        <x:f>Source!C18</x:f>
        <x:v>697</x:v>
      </x:c>
      <x:c r="E28" s="28" t="n">
        <x:f>Source!D18</x:f>
        <x:v>746.425</x:v>
      </x:c>
      <x:c r="F28" s="28" t="n">
        <x:f>Source!E18</x:f>
        <x:v>770.61875</x:v>
      </x:c>
      <x:c r="G28" s="28" t="n">
        <x:f>Source!F18</x:f>
        <x:v>819.8</x:v>
      </x:c>
      <x:c r="H28" s="28" t="n">
        <x:f>Source!G18</x:f>
        <x:v>807.62</x:v>
      </x:c>
      <x:c r="I28" s="28" t="n">
        <x:f>Source!H18</x:f>
        <x:v>888.315</x:v>
      </x:c>
      <x:c r="J28" s="28" t="n">
        <x:f>Source!I18</x:f>
        <x:v>916.33625</x:v>
      </x:c>
      <x:c r="K28" s="28" t="n">
        <x:f>Source!J18</x:f>
        <x:v>990.8</x:v>
      </x:c>
      <x:c r="L28" s="28" t="n">
        <x:f>Source!K18</x:f>
        <x:v>932.4</x:v>
      </x:c>
      <x:c r="M28" s="28" t="n">
        <x:f>Source!L18</x:f>
        <x:v>1035.35</x:v>
      </x:c>
      <x:c r="N28" s="28" t="n">
        <x:f>Source!M18</x:f>
        <x:v>1075.9375</x:v>
      </x:c>
      <x:c r="O28" s="28" t="n">
        <x:f>Source!N18</x:f>
        <x:v>1160.8</x:v>
      </x:c>
      <x:c r="P28" s="29" t="n">
        <x:f>P26+P27</x:f>
        <x:v>1187.26273912707</x:v>
      </x:c>
      <x:c r="Q28" s="29" t="n">
        <x:f>Q26+Q27</x:f>
        <x:v>1203.659066135946</x:v>
      </x:c>
      <x:c r="R28" s="29" t="n">
        <x:f>R26+R27</x:f>
        <x:v>1229.5776408450704</x:v>
      </x:c>
      <x:c r="S28" s="29" t="n">
        <x:f>S26+S27</x:f>
        <x:v>1260.826864893062</x:v>
      </x:c>
      <x:c r="T28" s="29" t="n">
        <x:f>T26+T27</x:f>
        <x:v>1288.7355126760563</x:v>
      </x:c>
      <x:c r="U28" s="29" t="n">
        <x:f>U26+U27</x:f>
        <x:v>1307.032051102266</x:v>
      </x:c>
      <x:c r="V28" s="29" t="n">
        <x:f>V26+V27</x:f>
        <x:v>1337.239503521127</x:v>
      </x:c>
      <x:c r="W28" s="29" t="n">
        <x:f>W26+W27</x:f>
        <x:v>1373.2454799165366</x:v>
      </x:c>
      <x:c r="X28" s="29" t="n">
        <x:f>X26+X27</x:f>
        <x:v>1403.8106353802818</x:v>
      </x:c>
      <x:c r="Y28" s="29" t="n">
        <x:f>Y26+Y27</x:f>
        <x:v>1425.3367419510107</x:v>
      </x:c>
      <x:c r="Z28" s="29" t="n">
        <x:f>Z26+Z27</x:f>
        <x:v>1459.7160722535214</x:v>
      </x:c>
      <x:c r="AA28" s="29" t="n">
        <x:f>AA26+AA27</x:f>
        <x:v>1500.347245070423</x:v>
      </x:c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1" customHeight="1">
      <x:c r="A30" s="1"/>
      <x:c r="B30" s="1"/>
      <x:c r="C30" s="1" t="str">
        <x:v>Accounts payable</x:v>
      </x:c>
      <x:c r="D30" s="8" t="n">
        <x:f>Source!C20</x:f>
        <x:v>76.8</x:v>
      </x:c>
      <x:c r="E30" s="8" t="n">
        <x:f>Source!D20</x:f>
        <x:v>81.6</x:v>
      </x:c>
      <x:c r="F30" s="8" t="n">
        <x:f>Source!E20</x:f>
        <x:v>79.2</x:v>
      </x:c>
      <x:c r="G30" s="8" t="n">
        <x:f>Source!F20</x:f>
        <x:v>80</x:v>
      </x:c>
      <x:c r="H30" s="8" t="n">
        <x:f>Source!G20</x:f>
        <x:v>102</x:v>
      </x:c>
      <x:c r="I30" s="8" t="n">
        <x:f>Source!H20</x:f>
        <x:v>98</x:v>
      </x:c>
      <x:c r="J30" s="8" t="n">
        <x:f>Source!I20</x:f>
        <x:v>101</x:v>
      </x:c>
      <x:c r="K30" s="8" t="n">
        <x:f>Source!J20</x:f>
        <x:v>100</x:v>
      </x:c>
      <x:c r="L30" s="8" t="n">
        <x:f>Source!K20</x:f>
        <x:v>118.8</x:v>
      </x:c>
      <x:c r="M30" s="8" t="n">
        <x:f>Source!L20</x:f>
        <x:v>116.4</x:v>
      </x:c>
      <x:c r="N30" s="8" t="n">
        <x:f>Source!M20</x:f>
        <x:v>117.6</x:v>
      </x:c>
      <x:c r="O30" s="8" t="n">
        <x:f>Source!N20</x:f>
        <x:v>120</x:v>
      </x:c>
      <x:c r="P30" s="8" t="n">
        <x:f>P11/P6*Assumptions!D24</x:f>
        <x:v>127.44890109890108</x:v>
      </x:c>
      <x:c r="Q30" s="8" t="n">
        <x:f>Q11/Q6*Assumptions!E24</x:f>
        <x:v>126.18434782608693</x:v>
      </x:c>
      <x:c r="R30" s="8" t="n">
        <x:f>R11/R6*Assumptions!F24</x:f>
        <x:v>129.35999999999999</x:v>
      </x:c>
      <x:c r="S30" s="8" t="n">
        <x:f>S11/S6*Assumptions!G24</x:f>
        <x:v>135.25925925925924</x:v>
      </x:c>
      <x:c r="T30" s="8" t="n">
        <x:f>T11/T6*Assumptions!D24</x:f>
        <x:v>140.46285</x:v>
      </x:c>
      <x:c r="U30" s="8" t="n">
        <x:f>U11/U6*Assumptions!E24</x:f>
        <x:v>137.5409391304348</x:v>
      </x:c>
      <x:c r="V30" s="8" t="n">
        <x:f>V11/V6*Assumptions!F24</x:f>
        <x:v>141.00240000000002</x:v>
      </x:c>
      <x:c r="W30" s="8" t="n">
        <x:f>W11/W6*Assumptions!G24</x:f>
        <x:v>147.43259259259258</x:v>
      </x:c>
      <x:c r="X30" s="8" t="n">
        <x:f>X11/X6*Assumptions!D24</x:f>
        <x:v>151.69987799999998</x:v>
      </x:c>
      <x:c r="Y30" s="8" t="n">
        <x:f>Y11/Y6*Assumptions!E24</x:f>
        <x:v>148.54421426086958</x:v>
      </x:c>
      <x:c r="Z30" s="8" t="n">
        <x:f>Z11/Z6*Assumptions!F24</x:f>
        <x:v>152.282592</x:v>
      </x:c>
      <x:c r="AA30" s="8" t="n">
        <x:f>AA11/AA6*Assumptions!G24</x:f>
        <x:v>159.2272</x:v>
      </x:c>
    </x:row>
    <x:row r="31" ht="21" customHeight="1">
      <x:c r="A31" s="1"/>
      <x:c r="B31" s="1"/>
      <x:c r="C31" s="1" t="str">
        <x:v>Current portion of debt</x:v>
      </x:c>
      <x:c r="D31" s="8" t="n">
        <x:f>Source!C21</x:f>
        <x:v>25.5</x:v>
      </x:c>
      <x:c r="E31" s="8" t="n">
        <x:f>Source!D21</x:f>
        <x:v>27.3</x:v>
      </x:c>
      <x:c r="F31" s="8" t="n">
        <x:f>Source!E21</x:f>
        <x:v>28.2</x:v>
      </x:c>
      <x:c r="G31" s="8" t="n">
        <x:f>Source!F21</x:f>
        <x:v>30</x:v>
      </x:c>
      <x:c r="H31" s="8" t="n">
        <x:f>Source!G21</x:f>
        <x:v>34.4</x:v>
      </x:c>
      <x:c r="I31" s="8" t="n">
        <x:f>Source!H21</x:f>
        <x:v>36.8</x:v>
      </x:c>
      <x:c r="J31" s="8" t="n">
        <x:f>Source!I21</x:f>
        <x:v>38</x:v>
      </x:c>
      <x:c r="K31" s="8" t="n">
        <x:f>Source!J21</x:f>
        <x:v>40</x:v>
      </x:c>
      <x:c r="L31" s="8" t="n">
        <x:f>Source!K21</x:f>
        <x:v>42</x:v>
      </x:c>
      <x:c r="M31" s="8" t="n">
        <x:f>Source!L21</x:f>
        <x:v>45.5</x:v>
      </x:c>
      <x:c r="N31" s="8" t="n">
        <x:f>Source!M21</x:f>
        <x:v>47.5</x:v>
      </x:c>
      <x:c r="O31" s="8" t="n">
        <x:f>Source!N21</x:f>
        <x:v>50</x:v>
      </x:c>
      <x:c r="P31" s="8" t="n">
        <x:f>MIN(P66,Assumptions!D12)</x:f>
        <x:v>50</x:v>
      </x:c>
      <x:c r="Q31" s="8" t="n">
        <x:f>MIN(Q66,Assumptions!D12)</x:f>
        <x:v>50</x:v>
      </x:c>
      <x:c r="R31" s="8" t="n">
        <x:f>MIN(R66,Assumptions!D12)</x:f>
        <x:v>50</x:v>
      </x:c>
      <x:c r="S31" s="8" t="n">
        <x:f>MIN(S66,Assumptions!D12)</x:f>
        <x:v>50</x:v>
      </x:c>
      <x:c r="T31" s="8" t="n">
        <x:f>MIN(T66,Assumptions!E12)</x:f>
        <x:v>50</x:v>
      </x:c>
      <x:c r="U31" s="8" t="n">
        <x:f>MIN(U66,Assumptions!E12)</x:f>
        <x:v>50</x:v>
      </x:c>
      <x:c r="V31" s="8" t="n">
        <x:f>MIN(V66,Assumptions!E12)</x:f>
        <x:v>50</x:v>
      </x:c>
      <x:c r="W31" s="8" t="n">
        <x:f>MIN(W66,Assumptions!E12)</x:f>
        <x:v>50</x:v>
      </x:c>
      <x:c r="X31" s="8" t="n">
        <x:f>MIN(X66,Assumptions!F12)</x:f>
        <x:v>50</x:v>
      </x:c>
      <x:c r="Y31" s="8" t="n">
        <x:f>MIN(Y66,Assumptions!F12)</x:f>
        <x:v>50</x:v>
      </x:c>
      <x:c r="Z31" s="8" t="n">
        <x:f>MIN(Z66,Assumptions!F12)</x:f>
        <x:v>50</x:v>
      </x:c>
      <x:c r="AA31" s="8" t="n">
        <x:f>MIN(AA66,Assumptions!F12)</x:f>
        <x:v>50</x:v>
      </x:c>
    </x:row>
    <x:row r="32" ht="21" customHeight="1">
      <x:c r="A32" s="1"/>
      <x:c r="B32" s="1"/>
      <x:c r="C32" s="27" t="str">
        <x:v>Total current liabilities</x:v>
      </x:c>
      <x:c r="D32" s="28" t="n">
        <x:f>Source!C22</x:f>
        <x:v>102.3</x:v>
      </x:c>
      <x:c r="E32" s="28" t="n">
        <x:f>Source!D22</x:f>
        <x:v>108.9</x:v>
      </x:c>
      <x:c r="F32" s="28" t="n">
        <x:f>Source!E22</x:f>
        <x:v>107.4</x:v>
      </x:c>
      <x:c r="G32" s="28" t="n">
        <x:f>Source!F22</x:f>
        <x:v>110</x:v>
      </x:c>
      <x:c r="H32" s="28" t="n">
        <x:f>Source!G22</x:f>
        <x:v>136.4</x:v>
      </x:c>
      <x:c r="I32" s="28" t="n">
        <x:f>Source!H22</x:f>
        <x:v>134.8</x:v>
      </x:c>
      <x:c r="J32" s="28" t="n">
        <x:f>Source!I22</x:f>
        <x:v>139</x:v>
      </x:c>
      <x:c r="K32" s="28" t="n">
        <x:f>Source!J22</x:f>
        <x:v>140</x:v>
      </x:c>
      <x:c r="L32" s="28" t="n">
        <x:f>Source!K22</x:f>
        <x:v>160.8</x:v>
      </x:c>
      <x:c r="M32" s="28" t="n">
        <x:f>Source!L22</x:f>
        <x:v>161.9</x:v>
      </x:c>
      <x:c r="N32" s="28" t="n">
        <x:f>Source!M22</x:f>
        <x:v>165.1</x:v>
      </x:c>
      <x:c r="O32" s="28" t="n">
        <x:f>Source!N22</x:f>
        <x:v>170</x:v>
      </x:c>
      <x:c r="P32" s="29" t="n">
        <x:f>SUM(P30:P31)</x:f>
        <x:v>177.44890109890108</x:v>
      </x:c>
      <x:c r="Q32" s="29" t="n">
        <x:f>SUM(Q30:Q31)</x:f>
        <x:v>176.18434782608693</x:v>
      </x:c>
      <x:c r="R32" s="29" t="n">
        <x:f>SUM(R30:R31)</x:f>
        <x:v>179.35999999999999</x:v>
      </x:c>
      <x:c r="S32" s="29" t="n">
        <x:f>SUM(S30:S31)</x:f>
        <x:v>185.25925925925924</x:v>
      </x:c>
      <x:c r="T32" s="29" t="n">
        <x:f>SUM(T30:T31)</x:f>
        <x:v>190.46285</x:v>
      </x:c>
      <x:c r="U32" s="29" t="n">
        <x:f>SUM(U30:U31)</x:f>
        <x:v>187.5409391304348</x:v>
      </x:c>
      <x:c r="V32" s="29" t="n">
        <x:f>SUM(V30:V31)</x:f>
        <x:v>191.00240000000002</x:v>
      </x:c>
      <x:c r="W32" s="29" t="n">
        <x:f>SUM(W30:W31)</x:f>
        <x:v>197.43259259259258</x:v>
      </x:c>
      <x:c r="X32" s="29" t="n">
        <x:f>SUM(X30:X31)</x:f>
        <x:v>201.69987799999998</x:v>
      </x:c>
      <x:c r="Y32" s="29" t="n">
        <x:f>SUM(Y30:Y31)</x:f>
        <x:v>198.54421426086958</x:v>
      </x:c>
      <x:c r="Z32" s="29" t="n">
        <x:f>SUM(Z30:Z31)</x:f>
        <x:v>202.282592</x:v>
      </x:c>
      <x:c r="AA32" s="29" t="n">
        <x:f>SUM(AA30:AA31)</x:f>
        <x:v>209.2272</x:v>
      </x:c>
    </x:row>
    <x:row r="33" ht="21" customHeight="1">
      <x:c r="A33" s="1"/>
      <x:c r="B33" s="1"/>
      <x:c r="C33" s="1" t="str">
        <x:v>Long-term debt</x:v>
      </x:c>
      <x:c r="D33" s="8" t="n">
        <x:f>Source!C23</x:f>
        <x:v>357.5</x:v>
      </x:c>
      <x:c r="E33" s="8" t="n">
        <x:f>Source!D23</x:f>
        <x:v>355.625</x:v>
      </x:c>
      <x:c r="F33" s="8" t="n">
        <x:f>Source!E23</x:f>
        <x:v>354.21875</x:v>
      </x:c>
      <x:c r="G33" s="8" t="n">
        <x:f>Source!F23</x:f>
        <x:v>350</x:v>
      </x:c>
      <x:c r="H33" s="8" t="n">
        <x:f>Source!G23</x:f>
        <x:v>342.5</x:v>
      </x:c>
      <x:c r="I33" s="8" t="n">
        <x:f>Source!H23</x:f>
        <x:v>336.875</x:v>
      </x:c>
      <x:c r="J33" s="8" t="n">
        <x:f>Source!I23</x:f>
        <x:v>332.65625</x:v>
      </x:c>
      <x:c r="K33" s="8" t="n">
        <x:f>Source!J23</x:f>
        <x:v>320</x:v>
      </x:c>
      <x:c r="L33" s="8" t="n">
        <x:f>Source!K23</x:f>
        <x:v>315</x:v>
      </x:c>
      <x:c r="M33" s="8" t="n">
        <x:f>Source!L23</x:f>
        <x:v>311.25</x:v>
      </x:c>
      <x:c r="N33" s="8" t="n">
        <x:f>Source!M23</x:f>
        <x:v>308.4375</x:v>
      </x:c>
      <x:c r="O33" s="8" t="n">
        <x:f>Source!N23</x:f>
        <x:v>300</x:v>
      </x:c>
      <x:c r="P33" s="20" t="n">
        <x:f>P66-P31</x:f>
        <x:v>287.5</x:v>
      </x:c>
      <x:c r="Q33" s="20" t="n">
        <x:f>Q66-Q31</x:f>
        <x:v>275</x:v>
      </x:c>
      <x:c r="R33" s="20" t="n">
        <x:f>R66-R31</x:f>
        <x:v>262.5</x:v>
      </x:c>
      <x:c r="S33" s="20" t="n">
        <x:f>S66-S31</x:f>
        <x:v>250</x:v>
      </x:c>
      <x:c r="T33" s="20" t="n">
        <x:f>T66-T31</x:f>
        <x:v>237.5</x:v>
      </x:c>
      <x:c r="U33" s="20" t="n">
        <x:f>U66-U31</x:f>
        <x:v>225</x:v>
      </x:c>
      <x:c r="V33" s="20" t="n">
        <x:f>V66-V31</x:f>
        <x:v>212.5</x:v>
      </x:c>
      <x:c r="W33" s="20" t="n">
        <x:f>W66-W31</x:f>
        <x:v>200</x:v>
      </x:c>
      <x:c r="X33" s="20" t="n">
        <x:f>X66-X31</x:f>
        <x:v>187.5</x:v>
      </x:c>
      <x:c r="Y33" s="20" t="n">
        <x:f>Y66-Y31</x:f>
        <x:v>175</x:v>
      </x:c>
      <x:c r="Z33" s="20" t="n">
        <x:f>Z66-Z31</x:f>
        <x:v>162.5</x:v>
      </x:c>
      <x:c r="AA33" s="20" t="n">
        <x:f>AA66-AA31</x:f>
        <x:v>150</x:v>
      </x:c>
    </x:row>
    <x:row r="34" ht="21" customHeight="1">
      <x:c r="A34" s="1"/>
      <x:c r="B34" s="1"/>
      <x:c r="C34" s="27" t="str">
        <x:v>Total liabilities</x:v>
      </x:c>
      <x:c r="D34" s="28" t="n">
        <x:f>Source!C24</x:f>
        <x:v>459.8</x:v>
      </x:c>
      <x:c r="E34" s="28" t="n">
        <x:f>Source!D24</x:f>
        <x:v>464.525</x:v>
      </x:c>
      <x:c r="F34" s="28" t="n">
        <x:f>Source!E24</x:f>
        <x:v>461.61875</x:v>
      </x:c>
      <x:c r="G34" s="28" t="n">
        <x:f>Source!F24</x:f>
        <x:v>460</x:v>
      </x:c>
      <x:c r="H34" s="28" t="n">
        <x:f>Source!G24</x:f>
        <x:v>478.9</x:v>
      </x:c>
      <x:c r="I34" s="28" t="n">
        <x:f>Source!H24</x:f>
        <x:v>471.675</x:v>
      </x:c>
      <x:c r="J34" s="28" t="n">
        <x:f>Source!I24</x:f>
        <x:v>471.65625</x:v>
      </x:c>
      <x:c r="K34" s="28" t="n">
        <x:f>Source!J24</x:f>
        <x:v>460</x:v>
      </x:c>
      <x:c r="L34" s="28" t="n">
        <x:f>Source!K24</x:f>
        <x:v>475.8</x:v>
      </x:c>
      <x:c r="M34" s="28" t="n">
        <x:f>Source!L24</x:f>
        <x:v>473.15</x:v>
      </x:c>
      <x:c r="N34" s="28" t="n">
        <x:f>Source!M24</x:f>
        <x:v>473.5375</x:v>
      </x:c>
      <x:c r="O34" s="28" t="n">
        <x:f>Source!N24</x:f>
        <x:v>470</x:v>
      </x:c>
      <x:c r="P34" s="29" t="n">
        <x:f>P32+P33</x:f>
        <x:v>464.94890109890105</x:v>
      </x:c>
      <x:c r="Q34" s="29" t="n">
        <x:f>Q32+Q33</x:f>
        <x:v>451.18434782608693</x:v>
      </x:c>
      <x:c r="R34" s="29" t="n">
        <x:f>R32+R33</x:f>
        <x:v>441.86</x:v>
      </x:c>
      <x:c r="S34" s="29" t="n">
        <x:f>S32+S33</x:f>
        <x:v>435.25925925925924</x:v>
      </x:c>
      <x:c r="T34" s="29" t="n">
        <x:f>T32+T33</x:f>
        <x:v>427.96285</x:v>
      </x:c>
      <x:c r="U34" s="29" t="n">
        <x:f>U32+U33</x:f>
        <x:v>412.5409391304348</x:v>
      </x:c>
      <x:c r="V34" s="29" t="n">
        <x:f>V32+V33</x:f>
        <x:v>403.5024</x:v>
      </x:c>
      <x:c r="W34" s="29" t="n">
        <x:f>W32+W33</x:f>
        <x:v>397.4325925925926</x:v>
      </x:c>
      <x:c r="X34" s="29" t="n">
        <x:f>X32+X33</x:f>
        <x:v>389.199878</x:v>
      </x:c>
      <x:c r="Y34" s="29" t="n">
        <x:f>Y32+Y33</x:f>
        <x:v>373.5442142608696</x:v>
      </x:c>
      <x:c r="Z34" s="29" t="n">
        <x:f>Z32+Z33</x:f>
        <x:v>364.782592</x:v>
      </x:c>
      <x:c r="AA34" s="29" t="n">
        <x:f>AA32+AA33</x:f>
        <x:v>359.22720000000004</x:v>
      </x:c>
    </x:row>
    <x:row r="35" ht="21" customHeight="1">
      <x:c r="A35" s="1"/>
      <x:c r="B35" s="1"/>
      <x:c r="C35" s="1" t="str">
        <x:v>Common stock</x:v>
      </x:c>
      <x:c r="D35" s="8" t="n">
        <x:f>Source!C25</x:f>
        <x:v>100</x:v>
      </x:c>
      <x:c r="E35" s="8" t="n">
        <x:f>Source!D25</x:f>
        <x:v>126</x:v>
      </x:c>
      <x:c r="F35" s="8" t="n">
        <x:f>Source!E25</x:f>
        <x:v>131</x:v>
      </x:c>
      <x:c r="G35" s="8" t="n">
        <x:f>Source!F25</x:f>
        <x:v>158</x:v>
      </x:c>
      <x:c r="H35" s="8" t="n">
        <x:f>Source!G25</x:f>
        <x:v>103</x:v>
      </x:c>
      <x:c r="I35" s="8" t="n">
        <x:f>Source!H25</x:f>
        <x:v>167</x:v>
      </x:c>
      <x:c r="J35" s="8" t="n">
        <x:f>Source!I25</x:f>
        <x:v>168</x:v>
      </x:c>
      <x:c r="K35" s="8" t="n">
        <x:f>Source!J25</x:f>
        <x:v>225</x:v>
      </x:c>
      <x:c r="L35" s="8" t="n">
        <x:f>Source!K25</x:f>
        <x:v>122</x:v>
      </x:c>
      <x:c r="M35" s="8" t="n">
        <x:f>Source!L25</x:f>
        <x:v>200</x:v>
      </x:c>
      <x:c r="N35" s="8" t="n">
        <x:f>Source!M25</x:f>
        <x:v>209</x:v>
      </x:c>
      <x:c r="O35" s="8" t="n">
        <x:f>Source!N25</x:f>
        <x:v>265</x:v>
      </x:c>
      <x:c r="P35" s="20" t="n">
        <x:f>O35+P50</x:f>
        <x:v>265</x:v>
      </x:c>
      <x:c r="Q35" s="20" t="n">
        <x:f>P35+Q50</x:f>
        <x:v>265</x:v>
      </x:c>
      <x:c r="R35" s="20" t="n">
        <x:f>Q35+R50</x:f>
        <x:v>265</x:v>
      </x:c>
      <x:c r="S35" s="20" t="n">
        <x:f>R35+S50</x:f>
        <x:v>265</x:v>
      </x:c>
      <x:c r="T35" s="20" t="n">
        <x:f>S35+T50</x:f>
        <x:v>265</x:v>
      </x:c>
      <x:c r="U35" s="20" t="n">
        <x:f>T35+U50</x:f>
        <x:v>265</x:v>
      </x:c>
      <x:c r="V35" s="20" t="n">
        <x:f>U35+V50</x:f>
        <x:v>265</x:v>
      </x:c>
      <x:c r="W35" s="20" t="n">
        <x:f>V35+W50</x:f>
        <x:v>265</x:v>
      </x:c>
      <x:c r="X35" s="20" t="n">
        <x:f>W35+X50</x:f>
        <x:v>265</x:v>
      </x:c>
      <x:c r="Y35" s="20" t="n">
        <x:f>X35+Y50</x:f>
        <x:v>265</x:v>
      </x:c>
      <x:c r="Z35" s="20" t="n">
        <x:f>Y35+Z50</x:f>
        <x:v>265</x:v>
      </x:c>
      <x:c r="AA35" s="20" t="n">
        <x:f>Z35+AA50</x:f>
        <x:v>265</x:v>
      </x:c>
    </x:row>
    <x:row r="36" ht="21" customHeight="1">
      <x:c r="A36" s="1"/>
      <x:c r="B36" s="1"/>
      <x:c r="C36" s="1" t="str">
        <x:v>Retained earnings</x:v>
      </x:c>
      <x:c r="D36" s="8" t="n">
        <x:f>Source!C26</x:f>
        <x:v>137.4</x:v>
      </x:c>
      <x:c r="E36" s="8" t="n">
        <x:f>Source!D26</x:f>
        <x:v>156.1</x:v>
      </x:c>
      <x:c r="F36" s="8" t="n">
        <x:f>Source!E26</x:f>
        <x:v>178.2</x:v>
      </x:c>
      <x:c r="G36" s="8" t="n">
        <x:f>Source!F26</x:f>
        <x:v>202</x:v>
      </x:c>
      <x:c r="H36" s="8" t="n">
        <x:f>Source!G26</x:f>
        <x:v>225.92</x:v>
      </x:c>
      <x:c r="I36" s="8" t="n">
        <x:f>Source!H26</x:f>
        <x:v>249.84</x:v>
      </x:c>
      <x:c r="J36" s="8" t="n">
        <x:f>Source!I26</x:f>
        <x:v>276.88</x:v>
      </x:c>
      <x:c r="K36" s="8" t="n">
        <x:f>Source!J26</x:f>
        <x:v>306</x:v>
      </x:c>
      <x:c r="L36" s="8" t="n">
        <x:f>Source!K26</x:f>
        <x:v>334.8</x:v>
      </x:c>
      <x:c r="M36" s="8" t="n">
        <x:f>Source!L26</x:f>
        <x:v>362.4</x:v>
      </x:c>
      <x:c r="N36" s="8" t="n">
        <x:f>Source!M26</x:f>
        <x:v>393.6</x:v>
      </x:c>
      <x:c r="O36" s="8" t="n">
        <x:f>Source!N26</x:f>
        <x:v>426</x:v>
      </x:c>
      <x:c r="P36" s="20" t="n">
        <x:f>O36+P20+P51</x:f>
        <x:v>457.513838028169</x:v>
      </x:c>
      <x:c r="Q36" s="20" t="n">
        <x:f>P36+Q20+Q51</x:f>
        <x:v>487.67471830985914</x:v>
      </x:c>
      <x:c r="R36" s="20" t="n">
        <x:f>Q36+R20+R51</x:f>
        <x:v>522.9176408450704</x:v>
      </x:c>
      <x:c r="S36" s="20" t="n">
        <x:f>R36+S20+S51</x:f>
        <x:v>560.7676056338029</x:v>
      </x:c>
      <x:c r="T36" s="20" t="n">
        <x:f>S36+T20+T51</x:f>
        <x:v>595.9726626760564</x:v>
      </x:c>
      <x:c r="U36" s="20" t="n">
        <x:f>T36+U20+U51</x:f>
        <x:v>629.6911119718311</x:v>
      </x:c>
      <x:c r="V36" s="20" t="n">
        <x:f>U36+V20+V51</x:f>
        <x:v>668.9371035211269</x:v>
      </x:c>
      <x:c r="W36" s="20" t="n">
        <x:f>V36+W20+W51</x:f>
        <x:v>711.0128873239438</x:v>
      </x:c>
      <x:c r="X36" s="20" t="n">
        <x:f>W36+X20+X51</x:f>
        <x:v>749.8107573802819</x:v>
      </x:c>
      <x:c r="Y36" s="20" t="n">
        <x:f>X36+Y20+Y51</x:f>
        <x:v>786.9925276901411</x:v>
      </x:c>
      <x:c r="Z36" s="20" t="n">
        <x:f>Y36+Z20+Z51</x:f>
        <x:v>830.1334802535214</x:v>
      </x:c>
      <x:c r="AA36" s="20" t="n">
        <x:f>Z36+AA20+AA51</x:f>
        <x:v>876.3200450704228</x:v>
      </x:c>
    </x:row>
    <x:row r="37" ht="21" customHeight="1">
      <x:c r="A37" s="1"/>
      <x:c r="B37" s="1"/>
      <x:c r="C37" s="1" t="str">
        <x:v>Unresolved opening equity difference</x:v>
      </x:c>
      <x:c r="D37" s="8" t="n">
        <x:f>Assumptions!$D$31</x:f>
        <x:v>-0.2</x:v>
      </x:c>
      <x:c r="E37" s="8" t="n">
        <x:f>Assumptions!$D$31</x:f>
        <x:v>-0.2</x:v>
      </x:c>
      <x:c r="F37" s="8" t="n">
        <x:f>Assumptions!$D$31</x:f>
        <x:v>-0.2</x:v>
      </x:c>
      <x:c r="G37" s="8" t="n">
        <x:f>Assumptions!$D$31</x:f>
        <x:v>-0.2</x:v>
      </x:c>
      <x:c r="H37" s="8" t="n">
        <x:f>Assumptions!$D$31</x:f>
        <x:v>-0.2</x:v>
      </x:c>
      <x:c r="I37" s="8" t="n">
        <x:f>Assumptions!$D$31</x:f>
        <x:v>-0.2</x:v>
      </x:c>
      <x:c r="J37" s="8" t="n">
        <x:f>Assumptions!$D$31</x:f>
        <x:v>-0.2</x:v>
      </x:c>
      <x:c r="K37" s="8" t="n">
        <x:f>Assumptions!$D$31</x:f>
        <x:v>-0.2</x:v>
      </x:c>
      <x:c r="L37" s="8" t="n">
        <x:f>Assumptions!$D$31</x:f>
        <x:v>-0.2</x:v>
      </x:c>
      <x:c r="M37" s="8" t="n">
        <x:f>Assumptions!$D$31</x:f>
        <x:v>-0.2</x:v>
      </x:c>
      <x:c r="N37" s="8" t="n">
        <x:f>Assumptions!$D$31</x:f>
        <x:v>-0.2</x:v>
      </x:c>
      <x:c r="O37" s="8" t="n">
        <x:f>Assumptions!$D$31</x:f>
        <x:v>-0.2</x:v>
      </x:c>
      <x:c r="P37" s="20" t="n">
        <x:f>O37</x:f>
        <x:v>-0.2</x:v>
      </x:c>
      <x:c r="Q37" s="20" t="n">
        <x:f>P37</x:f>
        <x:v>-0.2</x:v>
      </x:c>
      <x:c r="R37" s="20" t="n">
        <x:f>Q37</x:f>
        <x:v>-0.2</x:v>
      </x:c>
      <x:c r="S37" s="20" t="n">
        <x:f>R37</x:f>
        <x:v>-0.2</x:v>
      </x:c>
      <x:c r="T37" s="20" t="n">
        <x:f>S37</x:f>
        <x:v>-0.2</x:v>
      </x:c>
      <x:c r="U37" s="20" t="n">
        <x:f>T37</x:f>
        <x:v>-0.2</x:v>
      </x:c>
      <x:c r="V37" s="20" t="n">
        <x:f>U37</x:f>
        <x:v>-0.2</x:v>
      </x:c>
      <x:c r="W37" s="20" t="n">
        <x:f>V37</x:f>
        <x:v>-0.2</x:v>
      </x:c>
      <x:c r="X37" s="20" t="n">
        <x:f>W37</x:f>
        <x:v>-0.2</x:v>
      </x:c>
      <x:c r="Y37" s="20" t="n">
        <x:f>X37</x:f>
        <x:v>-0.2</x:v>
      </x:c>
      <x:c r="Z37" s="20" t="n">
        <x:f>Y37</x:f>
        <x:v>-0.2</x:v>
      </x:c>
      <x:c r="AA37" s="20" t="n">
        <x:f>Z37</x:f>
        <x:v>-0.2</x:v>
      </x:c>
    </x:row>
    <x:row r="38" ht="21" customHeight="1">
      <x:c r="A38" s="1"/>
      <x:c r="B38" s="1"/>
      <x:c r="C38" s="27" t="str">
        <x:v>Total liabilities and equity</x:v>
      </x:c>
      <x:c r="D38" s="29" t="n">
        <x:f>SUM(D34:D37)</x:f>
        <x:v>696.9999999999999</x:v>
      </x:c>
      <x:c r="E38" s="29" t="n">
        <x:f>SUM(E34:E37)</x:f>
        <x:v>746.425</x:v>
      </x:c>
      <x:c r="F38" s="29" t="n">
        <x:f>SUM(F34:F37)</x:f>
        <x:v>770.6187499999999</x:v>
      </x:c>
      <x:c r="G38" s="29" t="n">
        <x:f>SUM(G34:G37)</x:f>
        <x:v>819.8</x:v>
      </x:c>
      <x:c r="H38" s="29" t="n">
        <x:f>SUM(H34:H37)</x:f>
        <x:v>807.6199999999999</x:v>
      </x:c>
      <x:c r="I38" s="29" t="n">
        <x:f>SUM(I34:I37)</x:f>
        <x:v>888.3149999999999</x:v>
      </x:c>
      <x:c r="J38" s="29" t="n">
        <x:f>SUM(J34:J37)</x:f>
        <x:v>916.33625</x:v>
      </x:c>
      <x:c r="K38" s="29" t="n">
        <x:f>SUM(K34:K37)</x:f>
        <x:v>990.8</x:v>
      </x:c>
      <x:c r="L38" s="29" t="n">
        <x:f>SUM(L34:L37)</x:f>
        <x:v>932.3999999999999</x:v>
      </x:c>
      <x:c r="M38" s="29" t="n">
        <x:f>SUM(M34:M37)</x:f>
        <x:v>1035.35</x:v>
      </x:c>
      <x:c r="N38" s="29" t="n">
        <x:f>SUM(N34:N37)</x:f>
        <x:v>1075.9375</x:v>
      </x:c>
      <x:c r="O38" s="29" t="n">
        <x:f>SUM(O34:O37)</x:f>
        <x:v>1160.8</x:v>
      </x:c>
      <x:c r="P38" s="29" t="n">
        <x:f>SUM(P34:P37)</x:f>
        <x:v>1187.26273912707</x:v>
      </x:c>
      <x:c r="Q38" s="29" t="n">
        <x:f>SUM(Q34:Q37)</x:f>
        <x:v>1203.659066135946</x:v>
      </x:c>
      <x:c r="R38" s="29" t="n">
        <x:f>SUM(R34:R37)</x:f>
        <x:v>1229.5776408450704</x:v>
      </x:c>
      <x:c r="S38" s="29" t="n">
        <x:f>SUM(S34:S37)</x:f>
        <x:v>1260.826864893062</x:v>
      </x:c>
      <x:c r="T38" s="29" t="n">
        <x:f>SUM(T34:T37)</x:f>
        <x:v>1288.7355126760565</x:v>
      </x:c>
      <x:c r="U38" s="29" t="n">
        <x:f>SUM(U34:U37)</x:f>
        <x:v>1307.0320511022658</x:v>
      </x:c>
      <x:c r="V38" s="29" t="n">
        <x:f>SUM(V34:V37)</x:f>
        <x:v>1337.2395035211268</x:v>
      </x:c>
      <x:c r="W38" s="29" t="n">
        <x:f>SUM(W34:W37)</x:f>
        <x:v>1373.2454799165364</x:v>
      </x:c>
      <x:c r="X38" s="29" t="n">
        <x:f>SUM(X34:X37)</x:f>
        <x:v>1403.8106353802818</x:v>
      </x:c>
      <x:c r="Y38" s="29" t="n">
        <x:f>SUM(Y34:Y37)</x:f>
        <x:v>1425.3367419510107</x:v>
      </x:c>
      <x:c r="Z38" s="29" t="n">
        <x:f>SUM(Z34:Z37)</x:f>
        <x:v>1459.7160722535214</x:v>
      </x:c>
      <x:c r="AA38" s="29" t="n">
        <x:f>SUM(AA34:AA37)</x:f>
        <x:v>1500.3472450704228</x:v>
      </x:c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A40" s="1"/>
      <x:c r="B40" s="1"/>
      <x:c r="C40" s="15" t="str">
        <x:v>Cash flow statement</x:v>
      </x:c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  <x:c r="AA40" s="16"/>
    </x:row>
    <x:row r="41" ht="21" customHeight="1">
      <x:c r="A41" s="1"/>
      <x:c r="B41" s="1"/>
      <x:c r="C41" s="1" t="str">
        <x:v>Net income</x:v>
      </x:c>
      <x:c r="D41" s="8" t="n">
        <x:f>Source!C28</x:f>
        <x:v>20.4</x:v>
      </x:c>
      <x:c r="E41" s="8" t="n">
        <x:f>Source!D28</x:f>
        <x:v>18.7</x:v>
      </x:c>
      <x:c r="F41" s="8" t="n">
        <x:f>Source!E28</x:f>
        <x:v>22.1</x:v>
      </x:c>
      <x:c r="G41" s="8" t="n">
        <x:f>Source!F28</x:f>
        <x:v>23.8</x:v>
      </x:c>
      <x:c r="H41" s="8" t="n">
        <x:f>Source!G28</x:f>
        <x:v>23.92</x:v>
      </x:c>
      <x:c r="I41" s="8" t="n">
        <x:f>Source!H28</x:f>
        <x:v>23.92</x:v>
      </x:c>
      <x:c r="J41" s="8" t="n">
        <x:f>Source!I28</x:f>
        <x:v>27.04</x:v>
      </x:c>
      <x:c r="K41" s="8" t="n">
        <x:f>Source!J28</x:f>
        <x:v>29.12</x:v>
      </x:c>
      <x:c r="L41" s="8" t="n">
        <x:f>Source!K28</x:f>
        <x:v>28.8</x:v>
      </x:c>
      <x:c r="M41" s="8" t="n">
        <x:f>Source!L28</x:f>
        <x:v>27.6</x:v>
      </x:c>
      <x:c r="N41" s="8" t="n">
        <x:f>Source!M28</x:f>
        <x:v>31.2</x:v>
      </x:c>
      <x:c r="O41" s="8" t="n">
        <x:f>Source!N28</x:f>
        <x:v>32.4</x:v>
      </x:c>
      <x:c r="P41" s="20" t="n">
        <x:f>P20</x:f>
        <x:v>31.513838028169026</x:v>
      </x:c>
      <x:c r="Q41" s="20" t="n">
        <x:f>Q20</x:f>
        <x:v>30.160880281690147</x:v>
      </x:c>
      <x:c r="R41" s="20" t="n">
        <x:f>R20</x:f>
        <x:v>35.24292253521128</x:v>
      </x:c>
      <x:c r="S41" s="20" t="n">
        <x:f>S20</x:f>
        <x:v>37.8499647887324</x:v>
      </x:c>
      <x:c r="T41" s="20" t="n">
        <x:f>T20</x:f>
        <x:v>35.20505704225353</x:v>
      </x:c>
      <x:c r="U41" s="20" t="n">
        <x:f>U20</x:f>
        <x:v>33.71844929577466</x:v>
      </x:c>
      <x:c r="V41" s="20" t="n">
        <x:f>V20</x:f>
        <x:v>39.2459915492958</x:v>
      </x:c>
      <x:c r="W41" s="20" t="n">
        <x:f>W20</x:f>
        <x:v>42.07578380281692</x:v>
      </x:c>
      <x:c r="X41" s="20" t="n">
        <x:f>X20</x:f>
        <x:v>38.79787005633804</x:v>
      </x:c>
      <x:c r="Y41" s="20" t="n">
        <x:f>Y20</x:f>
        <x:v>37.181770309859175</x:v>
      </x:c>
      <x:c r="Z41" s="20" t="n">
        <x:f>Z20</x:f>
        <x:v>43.140952563380296</x:v>
      </x:c>
      <x:c r="AA41" s="20" t="n">
        <x:f>AA20</x:f>
        <x:v>46.18656481690142</x:v>
      </x:c>
    </x:row>
    <x:row r="42" ht="21" customHeight="1">
      <x:c r="A42" s="1"/>
      <x:c r="B42" s="1"/>
      <x:c r="C42" s="1" t="str">
        <x:v>Reported / modelled noncash add-back</x:v>
      </x:c>
      <x:c r="D42" s="2" t="n">
        <x:v>0</x:v>
      </x:c>
      <x:c r="E42" s="2" t="n">
        <x:v>0</x:v>
      </x:c>
      <x:c r="F42" s="2" t="n">
        <x:v>0</x:v>
      </x:c>
      <x:c r="G42" s="2" t="n">
        <x:v>0</x:v>
      </x:c>
      <x:c r="H42" s="2" t="n">
        <x:v>0</x:v>
      </x:c>
      <x:c r="I42" s="2" t="n">
        <x:v>0</x:v>
      </x:c>
      <x:c r="J42" s="2" t="n">
        <x:v>0</x:v>
      </x:c>
      <x:c r="K42" s="2" t="n">
        <x:v>0</x:v>
      </x:c>
      <x:c r="L42" s="2" t="n">
        <x:v>0</x:v>
      </x:c>
      <x:c r="M42" s="2" t="n">
        <x:v>0</x:v>
      </x:c>
      <x:c r="N42" s="2" t="n">
        <x:v>0</x:v>
      </x:c>
      <x:c r="O42" s="2" t="n">
        <x:v>0</x:v>
      </x:c>
      <x:c r="P42" s="20" t="n">
        <x:f>P15</x:f>
        <x:v>15.309145833333334</x:v>
      </x:c>
      <x:c r="Q42" s="20" t="n">
        <x:f>Q15</x:f>
        <x:v>15.914375</x:v>
      </x:c>
      <x:c r="R42" s="20" t="n">
        <x:f>R15</x:f>
        <x:v>16.550083333333333</x:v>
      </x:c>
      <x:c r="S42" s="20" t="n">
        <x:f>S15</x:f>
        <x:v>17.251104166666668</x:v>
      </x:c>
      <x:c r="T42" s="20" t="n">
        <x:f>T15</x:f>
        <x:v>17.949468958333334</x:v>
      </x:c>
      <x:c r="U42" s="20" t="n">
        <x:f>U15</x:f>
        <x:v>18.60916875</x:v>
      </x:c>
      <x:c r="V42" s="20" t="n">
        <x:f>V15</x:f>
        <x:v>19.302090833333335</x:v>
      </x:c>
      <x:c r="W42" s="20" t="n">
        <x:f>W15</x:f>
        <x:v>20.066203541666667</x:v>
      </x:c>
      <x:c r="X42" s="20" t="n">
        <x:f>X15</x:f>
        <x:v>20.824051475</x:v>
      </x:c>
      <x:c r="Y42" s="20" t="n">
        <x:f>Y15</x:f>
        <x:v>21.536527250000002</x:v>
      </x:c>
      <x:c r="Z42" s="20" t="n">
        <x:f>Z15</x:f>
        <x:v>22.284883100000002</x:v>
      </x:c>
      <x:c r="AA42" s="20" t="n">
        <x:f>AA15</x:f>
        <x:v>23.110124825</x:v>
      </x:c>
    </x:row>
    <x:row r="43" ht="21" customHeight="1">
      <x:c r="A43" s="1"/>
      <x:c r="B43" s="1"/>
      <x:c r="C43" s="1" t="str">
        <x:v>Cash effect of receivables</x:v>
      </x:c>
      <x:c r="D43" s="8" t="n">
        <x:f>Source!C29</x:f>
        <x:v>-1.5</x:v>
      </x:c>
      <x:c r="E43" s="8" t="n">
        <x:f>Source!D29</x:f>
        <x:v>-6.6</x:v>
      </x:c>
      <x:c r="F43" s="8" t="n">
        <x:f>Source!E29</x:f>
        <x:v>-3.3</x:v>
      </x:c>
      <x:c r="G43" s="8" t="n">
        <x:f>Source!F29</x:f>
        <x:v>-6.6</x:v>
      </x:c>
      <x:c r="H43" s="8" t="n">
        <x:f>Source!G29</x:f>
        <x:v>-1.8</x:v>
      </x:c>
      <x:c r="I43" s="8" t="n">
        <x:f>Source!H29</x:f>
        <x:v>-7.8</x:v>
      </x:c>
      <x:c r="J43" s="8" t="n">
        <x:f>Source!I29</x:f>
        <x:v>-3.9</x:v>
      </x:c>
      <x:c r="K43" s="8" t="n">
        <x:f>Source!J29</x:f>
        <x:v>-6.5</x:v>
      </x:c>
      <x:c r="L43" s="8" t="n">
        <x:f>Source!K29</x:f>
        <x:v>4</x:v>
      </x:c>
      <x:c r="M43" s="8" t="n">
        <x:f>Source!L29</x:f>
        <x:v>-10.5</x:v>
      </x:c>
      <x:c r="N43" s="8" t="n">
        <x:f>Source!M29</x:f>
        <x:v>-6</x:v>
      </x:c>
      <x:c r="O43" s="8" t="n">
        <x:f>Source!N29</x:f>
        <x:v>-7.5</x:v>
      </x:c>
      <x:c r="P43" s="20" t="n">
        <x:f>O24-P24</x:f>
        <x:v>14.826923076923066</x:v>
      </x:c>
      <x:c r="Q43" s="20" t="n">
        <x:f>P24-Q24</x:f>
        <x:v>-12.8008361204013</x:v>
      </x:c>
      <x:c r="R43" s="20" t="n">
        <x:f>Q24-R24</x:f>
        <x:v>-8.776086956521766</x:v>
      </x:c>
      <x:c r="S43" s="20" t="n">
        <x:f>R24-S24</x:f>
        <x:v>-12.324074074074048</x:v>
      </x:c>
      <x:c r="T43" s="20" t="n">
        <x:f>S24-T24</x:f>
        <x:v>20.098324074074014</x:v>
      </x:c>
      <x:c r="U43" s="20" t="n">
        <x:f>T24-U24</x:f>
        <x:v>-12.315815217391275</x:v>
      </x:c>
      <x:c r="V43" s="20" t="n">
        <x:f>U24-V24</x:f>
        <x:v>-9.565934782608736</x:v>
      </x:c>
      <x:c r="W43" s="20" t="n">
        <x:f>V24-W24</x:f>
        <x:v>-13.4332407407407</x:v>
      </x:c>
      <x:c r="X43" s="20" t="n">
        <x:f>W24-X24</x:f>
        <x:v>23.396930740740714</x:v>
      </x:c>
      <x:c r="Y43" s="20" t="n">
        <x:f>X24-Y24</x:f>
        <x:v>-13.301080434782591</x:v>
      </x:c>
      <x:c r="Z43" s="20" t="n">
        <x:f>Y24-Z24</x:f>
        <x:v>-10.331209565217392</x:v>
      </x:c>
      <x:c r="AA43" s="20" t="n">
        <x:f>Z24-AA24</x:f>
        <x:v>-14.507900000000006</x:v>
      </x:c>
    </x:row>
    <x:row r="44" ht="21" customHeight="1">
      <x:c r="A44" s="1"/>
      <x:c r="B44" s="1"/>
      <x:c r="C44" s="1" t="str">
        <x:v>Cash effect of inventory</x:v>
      </x:c>
      <x:c r="D44" s="8" t="n">
        <x:f>Source!C30</x:f>
        <x:v>-7.5</x:v>
      </x:c>
      <x:c r="E44" s="8" t="n">
        <x:f>Source!D30</x:f>
        <x:v>-9</x:v>
      </x:c>
      <x:c r="F44" s="8" t="n">
        <x:f>Source!E30</x:f>
        <x:v>-4.5</x:v>
      </x:c>
      <x:c r="G44" s="8" t="n">
        <x:f>Source!F30</x:f>
        <x:v>-9</x:v>
      </x:c>
      <x:c r="H44" s="8" t="n">
        <x:f>Source!G30</x:f>
        <x:v>-4.8</x:v>
      </x:c>
      <x:c r="I44" s="8" t="n">
        <x:f>Source!H30</x:f>
        <x:v>-10.8</x:v>
      </x:c>
      <x:c r="J44" s="8" t="n">
        <x:f>Source!I30</x:f>
        <x:v>-5.4</x:v>
      </x:c>
      <x:c r="K44" s="8" t="n">
        <x:f>Source!J30</x:f>
        <x:v>-9</x:v>
      </x:c>
      <x:c r="L44" s="8" t="n">
        <x:f>Source!K30</x:f>
        <x:v>12</x:v>
      </x:c>
      <x:c r="M44" s="8" t="n">
        <x:f>Source!L30</x:f>
        <x:v>-14</x:v>
      </x:c>
      <x:c r="N44" s="8" t="n">
        <x:f>Source!M30</x:f>
        <x:v>-8</x:v>
      </x:c>
      <x:c r="O44" s="8" t="n">
        <x:f>Source!N30</x:f>
        <x:v>-10</x:v>
      </x:c>
      <x:c r="P44" s="20" t="n">
        <x:f>O25-P25</x:f>
        <x:v>19.769230769230802</x:v>
      </x:c>
      <x:c r="Q44" s="20" t="n">
        <x:f>P25-Q25</x:f>
        <x:v>-17.067781493868438</x:v>
      </x:c>
      <x:c r="R44" s="20" t="n">
        <x:f>Q25-R25</x:f>
        <x:v>-11.701449275362364</x:v>
      </x:c>
      <x:c r="S44" s="20" t="n">
        <x:f>R25-S25</x:f>
        <x:v>-16.4320987654321</x:v>
      </x:c>
      <x:c r="T44" s="20" t="n">
        <x:f>S25-T25</x:f>
        <x:v>26.79776543209877</x:v>
      </x:c>
      <x:c r="U44" s="20" t="n">
        <x:f>T25-U25</x:f>
        <x:v>-16.421086956521776</x:v>
      </x:c>
      <x:c r="V44" s="20" t="n">
        <x:f>U25-V25</x:f>
        <x:v>-12.754579710144952</x:v>
      </x:c>
      <x:c r="W44" s="20" t="n">
        <x:f>V25-W25</x:f>
        <x:v>-17.910987654320934</x:v>
      </x:c>
      <x:c r="X44" s="20" t="n">
        <x:f>W25-X25</x:f>
        <x:v>31.19590765432102</x:v>
      </x:c>
      <x:c r="Y44" s="20" t="n">
        <x:f>X25-Y25</x:f>
        <x:v>-17.73477391304351</x:v>
      </x:c>
      <x:c r="Z44" s="20" t="n">
        <x:f>Y25-Z25</x:f>
        <x:v>-13.774946086956561</x:v>
      </x:c>
      <x:c r="AA44" s="20" t="n">
        <x:f>Z25-AA25</x:f>
        <x:v>-19.343866666666628</x:v>
      </x:c>
    </x:row>
    <x:row r="45" ht="21" customHeight="1">
      <x:c r="A45" s="1"/>
      <x:c r="B45" s="1"/>
      <x:c r="C45" s="1" t="str">
        <x:v>Cash effect of payables</x:v>
      </x:c>
      <x:c r="D45" s="8" t="n">
        <x:f>Source!C31</x:f>
        <x:v>24.8</x:v>
      </x:c>
      <x:c r="E45" s="8" t="n">
        <x:f>Source!D31</x:f>
        <x:v>4.8</x:v>
      </x:c>
      <x:c r="F45" s="8" t="n">
        <x:f>Source!E31</x:f>
        <x:v>-2.4</x:v>
      </x:c>
      <x:c r="G45" s="8" t="n">
        <x:f>Source!F31</x:f>
        <x:v>0.8</x:v>
      </x:c>
      <x:c r="H45" s="8" t="n">
        <x:f>Source!G31</x:f>
        <x:v>22</x:v>
      </x:c>
      <x:c r="I45" s="8" t="n">
        <x:f>Source!H31</x:f>
        <x:v>-4</x:v>
      </x:c>
      <x:c r="J45" s="8" t="n">
        <x:f>Source!I31</x:f>
        <x:v>3</x:v>
      </x:c>
      <x:c r="K45" s="8" t="n">
        <x:f>Source!J31</x:f>
        <x:v>-1</x:v>
      </x:c>
      <x:c r="L45" s="8" t="n">
        <x:f>Source!K31</x:f>
        <x:v>18.8</x:v>
      </x:c>
      <x:c r="M45" s="8" t="n">
        <x:f>Source!L31</x:f>
        <x:v>-2.4</x:v>
      </x:c>
      <x:c r="N45" s="8" t="n">
        <x:f>Source!M31</x:f>
        <x:v>1.2</x:v>
      </x:c>
      <x:c r="O45" s="8" t="n">
        <x:f>Source!N31</x:f>
        <x:v>2.4</x:v>
      </x:c>
      <x:c r="P45" s="20" t="n">
        <x:f>P30-O30</x:f>
        <x:v>7.448901098901075</x:v>
      </x:c>
      <x:c r="Q45" s="20" t="n">
        <x:f>Q30-P30</x:f>
        <x:v>-1.2645532728141404</x:v>
      </x:c>
      <x:c r="R45" s="20" t="n">
        <x:f>R30-Q30</x:f>
        <x:v>3.1756521739130505</x:v>
      </x:c>
      <x:c r="S45" s="20" t="n">
        <x:f>S30-R30</x:f>
        <x:v>5.899259259259253</x:v>
      </x:c>
      <x:c r="T45" s="20" t="n">
        <x:f>T30-S30</x:f>
        <x:v>5.203590740740765</x:v>
      </x:c>
      <x:c r="U45" s="20" t="n">
        <x:f>U30-T30</x:f>
        <x:v>-2.9219108695652096</x:v>
      </x:c>
      <x:c r="V45" s="20" t="n">
        <x:f>V30-U30</x:f>
        <x:v>3.4614608695652294</x:v>
      </x:c>
      <x:c r="W45" s="20" t="n">
        <x:f>W30-V30</x:f>
        <x:v>6.430192592592562</x:v>
      </x:c>
      <x:c r="X45" s="20" t="n">
        <x:f>X30-W30</x:f>
        <x:v>4.2672854074074</x:v>
      </x:c>
      <x:c r="Y45" s="20" t="n">
        <x:f>Y30-X30</x:f>
        <x:v>-3.1556637391304037</x:v>
      </x:c>
      <x:c r="Z45" s="20" t="n">
        <x:f>Z30-Y30</x:f>
        <x:v>3.7383777391304136</x:v>
      </x:c>
      <x:c r="AA45" s="20" t="n">
        <x:f>AA30-Z30</x:f>
        <x:v>6.9446080000000165</x:v>
      </x:c>
    </x:row>
    <x:row r="46" ht="21" customHeight="1">
      <x:c r="A46" s="1"/>
      <x:c r="B46" s="1"/>
      <x:c r="C46" s="27" t="str">
        <x:v>Cash from operations</x:v>
      </x:c>
      <x:c r="D46" s="28" t="n">
        <x:f>Source!C32</x:f>
        <x:v>36.2</x:v>
      </x:c>
      <x:c r="E46" s="28" t="n">
        <x:f>Source!D32</x:f>
        <x:v>7.9</x:v>
      </x:c>
      <x:c r="F46" s="28" t="n">
        <x:f>Source!E32</x:f>
        <x:v>11.9</x:v>
      </x:c>
      <x:c r="G46" s="28" t="n">
        <x:f>Source!F32</x:f>
        <x:v>9</x:v>
      </x:c>
      <x:c r="H46" s="28" t="n">
        <x:f>Source!G32</x:f>
        <x:v>39.32</x:v>
      </x:c>
      <x:c r="I46" s="28" t="n">
        <x:f>Source!H32</x:f>
        <x:v>1.32</x:v>
      </x:c>
      <x:c r="J46" s="28" t="n">
        <x:f>Source!I32</x:f>
        <x:v>20.74</x:v>
      </x:c>
      <x:c r="K46" s="28" t="n">
        <x:f>Source!J32</x:f>
        <x:v>12.62</x:v>
      </x:c>
      <x:c r="L46" s="28" t="n">
        <x:f>Source!K32</x:f>
        <x:v>63.6</x:v>
      </x:c>
      <x:c r="M46" s="28" t="n">
        <x:f>Source!L32</x:f>
        <x:v>0.7</x:v>
      </x:c>
      <x:c r="N46" s="28" t="n">
        <x:f>Source!M32</x:f>
        <x:v>18.4</x:v>
      </x:c>
      <x:c r="O46" s="28" t="n">
        <x:f>Source!N32</x:f>
        <x:v>17.3</x:v>
      </x:c>
      <x:c r="P46" s="29" t="n">
        <x:f>SUM(P41:P45)</x:f>
        <x:v>88.86803880655731</x:v>
      </x:c>
      <x:c r="Q46" s="29" t="n">
        <x:f>SUM(Q41:Q45)</x:f>
        <x:v>14.942084394606269</x:v>
      </x:c>
      <x:c r="R46" s="29" t="n">
        <x:f>SUM(R41:R45)</x:f>
        <x:v>34.49112181057353</x:v>
      </x:c>
      <x:c r="S46" s="29" t="n">
        <x:f>SUM(S41:S45)</x:f>
        <x:v>32.244155375152175</x:v>
      </x:c>
      <x:c r="T46" s="29" t="n">
        <x:f>SUM(T41:T45)</x:f>
        <x:v>105.2542062475004</x:v>
      </x:c>
      <x:c r="U46" s="29" t="n">
        <x:f>SUM(U41:U45)</x:f>
        <x:v>20.668805002296395</x:v>
      </x:c>
      <x:c r="V46" s="29" t="n">
        <x:f>SUM(V41:V45)</x:f>
        <x:v>39.689028759440674</x:v>
      </x:c>
      <x:c r="W46" s="29" t="n">
        <x:f>SUM(W41:W45)</x:f>
        <x:v>37.227951542014516</x:v>
      </x:c>
      <x:c r="X46" s="29" t="n">
        <x:f>SUM(X41:X45)</x:f>
        <x:v>118.48204533380718</x:v>
      </x:c>
      <x:c r="Y46" s="29" t="n">
        <x:f>SUM(Y41:Y45)</x:f>
        <x:v>24.526779472902675</x:v>
      </x:c>
      <x:c r="Z46" s="29" t="n">
        <x:f>SUM(Z41:Z45)</x:f>
        <x:v>45.05805775033676</x:v>
      </x:c>
      <x:c r="AA46" s="29" t="n">
        <x:f>SUM(AA41:AA45)</x:f>
        <x:v>42.389530975234806</x:v>
      </x:c>
    </x:row>
    <x:row r="47" ht="21" customHeight="1">
      <x:c r="A47" s="1"/>
      <x:c r="B47" s="1"/>
      <x:c r="C47" s="1" t="str">
        <x:v>Net PP&amp;E investing cash flow</x:v>
      </x:c>
      <x:c r="D47" s="8" t="n">
        <x:f>Source!C33</x:f>
        <x:v>-5</x:v>
      </x:c>
      <x:c r="E47" s="8" t="n">
        <x:f>Source!D33</x:f>
        <x:v>-30</x:v>
      </x:c>
      <x:c r="F47" s="8" t="n">
        <x:f>Source!E33</x:f>
        <x:v>-15</x:v>
      </x:c>
      <x:c r="G47" s="8" t="n">
        <x:f>Source!F33</x:f>
        <x:v>-30</x:v>
      </x:c>
      <x:c r="H47" s="8" t="n">
        <x:f>Source!G33</x:f>
        <x:v>27</x:v>
      </x:c>
      <x:c r="I47" s="8" t="n">
        <x:f>Source!H33</x:f>
        <x:v>-33</x:v>
      </x:c>
      <x:c r="J47" s="8" t="n">
        <x:f>Source!I33</x:f>
        <x:v>-16.5</x:v>
      </x:c>
      <x:c r="K47" s="8" t="n">
        <x:f>Source!J33</x:f>
        <x:v>-27.5</x:v>
      </x:c>
      <x:c r="L47" s="8" t="n">
        <x:f>Source!K33</x:f>
        <x:v>46</x:v>
      </x:c>
      <x:c r="M47" s="8" t="n">
        <x:f>Source!L33</x:f>
        <x:v>-42</x:v>
      </x:c>
      <x:c r="N47" s="8" t="n">
        <x:f>Source!M33</x:f>
        <x:v>-24</x:v>
      </x:c>
      <x:c r="O47" s="8" t="n">
        <x:f>Source!N33</x:f>
        <x:v>-30</x:v>
      </x:c>
      <x:c r="P47" s="20" t="n">
        <x:f>-P59</x:f>
        <x:v>-24.73166666666667</x:v>
      </x:c>
      <x:c r="Q47" s="20" t="n">
        <x:f>-Q59</x:f>
        <x:v>-23.686666666666667</x:v>
      </x:c>
      <x:c r="R47" s="20" t="n">
        <x:f>-R59</x:f>
        <x:v>-27.17</x:v>
      </x:c>
      <x:c r="S47" s="20" t="n">
        <x:f>-S59</x:f>
        <x:v>-28.91166666666667</x:v>
      </x:c>
      <x:c r="T47" s="20" t="n">
        <x:f>-T59</x:f>
        <x:v>-26.95751666666667</x:v>
      </x:c>
      <x:c r="U47" s="20" t="n">
        <x:f>-U59</x:f>
        <x:v>-25.818466666666673</x:v>
      </x:c>
      <x:c r="V47" s="20" t="n">
        <x:f>-V59</x:f>
        <x:v>-29.61530000000001</x:v>
      </x:c>
      <x:c r="W47" s="20" t="n">
        <x:f>-W59</x:f>
        <x:v>-31.51371666666667</x:v>
      </x:c>
      <x:c r="X47" s="20" t="n">
        <x:f>-X59</x:f>
        <x:v>-29.114118000000005</x:v>
      </x:c>
      <x:c r="Y47" s="20" t="n">
        <x:f>-Y59</x:f>
        <x:v>-27.883944000000003</x:v>
      </x:c>
      <x:c r="Z47" s="20" t="n">
        <x:f>-Z59</x:f>
        <x:v>-31.984524000000008</x:v>
      </x:c>
      <x:c r="AA47" s="20" t="n">
        <x:f>-AA59</x:f>
        <x:v>-34.034814000000004</x:v>
      </x:c>
    </x:row>
    <x:row r="48" ht="21" customHeight="1">
      <x:c r="A48" s="1"/>
      <x:c r="B48" s="1"/>
      <x:c r="C48" s="27" t="str">
        <x:v>Cash from investing</x:v>
      </x:c>
      <x:c r="D48" s="28" t="n">
        <x:f>Source!C34</x:f>
        <x:v>-5</x:v>
      </x:c>
      <x:c r="E48" s="28" t="n">
        <x:f>Source!D34</x:f>
        <x:v>-30</x:v>
      </x:c>
      <x:c r="F48" s="28" t="n">
        <x:f>Source!E34</x:f>
        <x:v>-15</x:v>
      </x:c>
      <x:c r="G48" s="28" t="n">
        <x:f>Source!F34</x:f>
        <x:v>-30</x:v>
      </x:c>
      <x:c r="H48" s="28" t="n">
        <x:f>Source!G34</x:f>
        <x:v>27</x:v>
      </x:c>
      <x:c r="I48" s="28" t="n">
        <x:f>Source!H34</x:f>
        <x:v>-33</x:v>
      </x:c>
      <x:c r="J48" s="28" t="n">
        <x:f>Source!I34</x:f>
        <x:v>-16.5</x:v>
      </x:c>
      <x:c r="K48" s="28" t="n">
        <x:f>Source!J34</x:f>
        <x:v>-27.5</x:v>
      </x:c>
      <x:c r="L48" s="28" t="n">
        <x:f>Source!K34</x:f>
        <x:v>46</x:v>
      </x:c>
      <x:c r="M48" s="28" t="n">
        <x:f>Source!L34</x:f>
        <x:v>-42</x:v>
      </x:c>
      <x:c r="N48" s="28" t="n">
        <x:f>Source!M34</x:f>
        <x:v>-24</x:v>
      </x:c>
      <x:c r="O48" s="28" t="n">
        <x:f>Source!N34</x:f>
        <x:v>-30</x:v>
      </x:c>
      <x:c r="P48" s="29" t="n">
        <x:f>P47</x:f>
        <x:v>-24.73166666666667</x:v>
      </x:c>
      <x:c r="Q48" s="29" t="n">
        <x:f>Q47</x:f>
        <x:v>-23.686666666666667</x:v>
      </x:c>
      <x:c r="R48" s="29" t="n">
        <x:f>R47</x:f>
        <x:v>-27.17</x:v>
      </x:c>
      <x:c r="S48" s="29" t="n">
        <x:f>S47</x:f>
        <x:v>-28.91166666666667</x:v>
      </x:c>
      <x:c r="T48" s="29" t="n">
        <x:f>T47</x:f>
        <x:v>-26.95751666666667</x:v>
      </x:c>
      <x:c r="U48" s="29" t="n">
        <x:f>U47</x:f>
        <x:v>-25.818466666666673</x:v>
      </x:c>
      <x:c r="V48" s="29" t="n">
        <x:f>V47</x:f>
        <x:v>-29.61530000000001</x:v>
      </x:c>
      <x:c r="W48" s="29" t="n">
        <x:f>W47</x:f>
        <x:v>-31.51371666666667</x:v>
      </x:c>
      <x:c r="X48" s="29" t="n">
        <x:f>X47</x:f>
        <x:v>-29.114118000000005</x:v>
      </x:c>
      <x:c r="Y48" s="29" t="n">
        <x:f>Y47</x:f>
        <x:v>-27.883944000000003</x:v>
      </x:c>
      <x:c r="Z48" s="29" t="n">
        <x:f>Z47</x:f>
        <x:v>-31.984524000000008</x:v>
      </x:c>
      <x:c r="AA48" s="29" t="n">
        <x:f>AA47</x:f>
        <x:v>-34.034814000000004</x:v>
      </x:c>
    </x:row>
    <x:row r="49" ht="21" customHeight="1">
      <x:c r="A49" s="1"/>
      <x:c r="B49" s="1"/>
      <x:c r="C49" s="1" t="str">
        <x:v>Net cash borrowing / repayment</x:v>
      </x:c>
      <x:c r="D49" s="8" t="n">
        <x:f>Source!C35+Source!C36</x:f>
        <x:v>-2</x:v>
      </x:c>
      <x:c r="E49" s="8" t="n">
        <x:f>Source!D35+Source!D36</x:f>
        <x:v>-0.07499999999999996</x:v>
      </x:c>
      <x:c r="F49" s="8" t="n">
        <x:f>Source!E35+Source!E36</x:f>
        <x:v>-0.50625</x:v>
      </x:c>
      <x:c r="G49" s="8" t="n">
        <x:f>Source!F35+Source!F36</x:f>
        <x:v>-2.41875</x:v>
      </x:c>
      <x:c r="H49" s="8" t="n">
        <x:f>Source!G35+Source!G36</x:f>
        <x:v>-3.0999999999999996</x:v>
      </x:c>
      <x:c r="I49" s="8" t="n">
        <x:f>Source!H35+Source!H36</x:f>
        <x:v>-3.225</x:v>
      </x:c>
      <x:c r="J49" s="8" t="n">
        <x:f>Source!I35+Source!I36</x:f>
        <x:v>-3.01875</x:v>
      </x:c>
      <x:c r="K49" s="8" t="n">
        <x:f>Source!J35+Source!J36</x:f>
        <x:v>-10.65625</x:v>
      </x:c>
      <x:c r="L49" s="8" t="n">
        <x:f>Source!K35+Source!K36</x:f>
        <x:v>-3</x:v>
      </x:c>
      <x:c r="M49" s="8" t="n">
        <x:f>Source!L35+Source!L36</x:f>
        <x:v>-0.25</x:v>
      </x:c>
      <x:c r="N49" s="8" t="n">
        <x:f>Source!M35+Source!M36</x:f>
        <x:v>-0.8125</x:v>
      </x:c>
      <x:c r="O49" s="8" t="n">
        <x:f>Source!N35+Source!N36</x:f>
        <x:v>-5.9375</x:v>
      </x:c>
      <x:c r="P49" s="20" t="n">
        <x:f>P65-P64</x:f>
        <x:v>-12.5</x:v>
      </x:c>
      <x:c r="Q49" s="20" t="n">
        <x:f>Q65-Q64</x:f>
        <x:v>-12.5</x:v>
      </x:c>
      <x:c r="R49" s="20" t="n">
        <x:f>R65-R64</x:f>
        <x:v>-12.5</x:v>
      </x:c>
      <x:c r="S49" s="20" t="n">
        <x:f>S65-S64</x:f>
        <x:v>-12.5</x:v>
      </x:c>
      <x:c r="T49" s="20" t="n">
        <x:f>T65-T64</x:f>
        <x:v>-12.5</x:v>
      </x:c>
      <x:c r="U49" s="20" t="n">
        <x:f>U65-U64</x:f>
        <x:v>-12.5</x:v>
      </x:c>
      <x:c r="V49" s="20" t="n">
        <x:f>V65-V64</x:f>
        <x:v>-12.5</x:v>
      </x:c>
      <x:c r="W49" s="20" t="n">
        <x:f>W65-W64</x:f>
        <x:v>-12.5</x:v>
      </x:c>
      <x:c r="X49" s="20" t="n">
        <x:f>X65-X64</x:f>
        <x:v>-12.5</x:v>
      </x:c>
      <x:c r="Y49" s="20" t="n">
        <x:f>Y65-Y64</x:f>
        <x:v>-12.5</x:v>
      </x:c>
      <x:c r="Z49" s="20" t="n">
        <x:f>Z65-Z64</x:f>
        <x:v>-12.5</x:v>
      </x:c>
      <x:c r="AA49" s="20" t="n">
        <x:f>AA65-AA64</x:f>
        <x:v>-12.5</x:v>
      </x:c>
    </x:row>
    <x:row r="50" ht="21" customHeight="1">
      <x:c r="A50" s="1"/>
      <x:c r="B50" s="1"/>
      <x:c r="C50" s="1" t="str">
        <x:v>Net cash equity financing</x:v>
      </x:c>
      <x:c r="D50" s="8" t="n">
        <x:f>Source!C37</x:f>
        <x:v>0</x:v>
      </x:c>
      <x:c r="E50" s="8" t="n">
        <x:f>Source!D37</x:f>
        <x:v>26</x:v>
      </x:c>
      <x:c r="F50" s="8" t="n">
        <x:f>Source!E37</x:f>
        <x:v>5</x:v>
      </x:c>
      <x:c r="G50" s="8" t="n">
        <x:f>Source!F37</x:f>
        <x:v>27</x:v>
      </x:c>
      <x:c r="H50" s="8" t="n">
        <x:f>Source!G37</x:f>
        <x:v>-55</x:v>
      </x:c>
      <x:c r="I50" s="8" t="n">
        <x:f>Source!H37</x:f>
        <x:v>64</x:v>
      </x:c>
      <x:c r="J50" s="8" t="n">
        <x:f>Source!I37</x:f>
        <x:v>1</x:v>
      </x:c>
      <x:c r="K50" s="8" t="n">
        <x:f>Source!J37</x:f>
        <x:v>57</x:v>
      </x:c>
      <x:c r="L50" s="8" t="n">
        <x:f>Source!K37</x:f>
        <x:v>-103</x:v>
      </x:c>
      <x:c r="M50" s="8" t="n">
        <x:f>Source!L37</x:f>
        <x:v>78</x:v>
      </x:c>
      <x:c r="N50" s="8" t="n">
        <x:f>Source!M37</x:f>
        <x:v>9</x:v>
      </x:c>
      <x:c r="O50" s="8" t="n">
        <x:f>Source!N37</x:f>
        <x:v>56</x:v>
      </x:c>
      <x:c r="P50" s="8" t="n">
        <x:f>Assumptions!D14/4</x:f>
        <x:v>0</x:v>
      </x:c>
      <x:c r="Q50" s="8" t="n">
        <x:f>Assumptions!D14/4</x:f>
        <x:v>0</x:v>
      </x:c>
      <x:c r="R50" s="8" t="n">
        <x:f>Assumptions!D14/4</x:f>
        <x:v>0</x:v>
      </x:c>
      <x:c r="S50" s="8" t="n">
        <x:f>Assumptions!D14/4</x:f>
        <x:v>0</x:v>
      </x:c>
      <x:c r="T50" s="8" t="n">
        <x:f>Assumptions!E14/4</x:f>
        <x:v>0</x:v>
      </x:c>
      <x:c r="U50" s="8" t="n">
        <x:f>Assumptions!E14/4</x:f>
        <x:v>0</x:v>
      </x:c>
      <x:c r="V50" s="8" t="n">
        <x:f>Assumptions!E14/4</x:f>
        <x:v>0</x:v>
      </x:c>
      <x:c r="W50" s="8" t="n">
        <x:f>Assumptions!E14/4</x:f>
        <x:v>0</x:v>
      </x:c>
      <x:c r="X50" s="8" t="n">
        <x:f>Assumptions!F14/4</x:f>
        <x:v>0</x:v>
      </x:c>
      <x:c r="Y50" s="8" t="n">
        <x:f>Assumptions!F14/4</x:f>
        <x:v>0</x:v>
      </x:c>
      <x:c r="Z50" s="8" t="n">
        <x:f>Assumptions!F14/4</x:f>
        <x:v>0</x:v>
      </x:c>
      <x:c r="AA50" s="8" t="n">
        <x:f>Assumptions!F14/4</x:f>
        <x:v>0</x:v>
      </x:c>
    </x:row>
    <x:row r="51" ht="21" customHeight="1">
      <x:c r="A51" s="1"/>
      <x:c r="B51" s="1"/>
      <x:c r="C51" s="1" t="str">
        <x:v>Cash dividends paid</x:v>
      </x:c>
      <x:c r="D51" s="2" t="n">
        <x:v>0</x:v>
      </x:c>
      <x:c r="E51" s="2" t="n">
        <x:v>0</x:v>
      </x:c>
      <x:c r="F51" s="2" t="n">
        <x:v>0</x:v>
      </x:c>
      <x:c r="G51" s="2" t="n">
        <x:v>0</x:v>
      </x:c>
      <x:c r="H51" s="2" t="n">
        <x:v>0</x:v>
      </x:c>
      <x:c r="I51" s="2" t="n">
        <x:v>0</x:v>
      </x:c>
      <x:c r="J51" s="2" t="n">
        <x:v>0</x:v>
      </x:c>
      <x:c r="K51" s="2" t="n">
        <x:v>0</x:v>
      </x:c>
      <x:c r="L51" s="2" t="n">
        <x:v>0</x:v>
      </x:c>
      <x:c r="M51" s="2" t="n">
        <x:v>0</x:v>
      </x:c>
      <x:c r="N51" s="2" t="n">
        <x:v>0</x:v>
      </x:c>
      <x:c r="O51" s="2" t="n">
        <x:v>0</x:v>
      </x:c>
      <x:c r="P51" s="8" t="n">
        <x:f>-Assumptions!D15/4</x:f>
        <x:v>0</x:v>
      </x:c>
      <x:c r="Q51" s="8" t="n">
        <x:f>-Assumptions!D15/4</x:f>
        <x:v>0</x:v>
      </x:c>
      <x:c r="R51" s="8" t="n">
        <x:f>-Assumptions!D15/4</x:f>
        <x:v>0</x:v>
      </x:c>
      <x:c r="S51" s="8" t="n">
        <x:f>-Assumptions!D15/4</x:f>
        <x:v>0</x:v>
      </x:c>
      <x:c r="T51" s="8" t="n">
        <x:f>-Assumptions!E15/4</x:f>
        <x:v>0</x:v>
      </x:c>
      <x:c r="U51" s="8" t="n">
        <x:f>-Assumptions!E15/4</x:f>
        <x:v>0</x:v>
      </x:c>
      <x:c r="V51" s="8" t="n">
        <x:f>-Assumptions!E15/4</x:f>
        <x:v>0</x:v>
      </x:c>
      <x:c r="W51" s="8" t="n">
        <x:f>-Assumptions!E15/4</x:f>
        <x:v>0</x:v>
      </x:c>
      <x:c r="X51" s="8" t="n">
        <x:f>-Assumptions!F15/4</x:f>
        <x:v>0</x:v>
      </x:c>
      <x:c r="Y51" s="8" t="n">
        <x:f>-Assumptions!F15/4</x:f>
        <x:v>0</x:v>
      </x:c>
      <x:c r="Z51" s="8" t="n">
        <x:f>-Assumptions!F15/4</x:f>
        <x:v>0</x:v>
      </x:c>
      <x:c r="AA51" s="8" t="n">
        <x:f>-Assumptions!F15/4</x:f>
        <x:v>0</x:v>
      </x:c>
    </x:row>
    <x:row r="52" ht="21" customHeight="1">
      <x:c r="A52" s="1"/>
      <x:c r="B52" s="1"/>
      <x:c r="C52" s="27" t="str">
        <x:v>Cash from financing</x:v>
      </x:c>
      <x:c r="D52" s="28" t="n">
        <x:f>Source!C38</x:f>
        <x:v>-2</x:v>
      </x:c>
      <x:c r="E52" s="28" t="n">
        <x:f>Source!D38</x:f>
        <x:v>25.925</x:v>
      </x:c>
      <x:c r="F52" s="28" t="n">
        <x:f>Source!E38</x:f>
        <x:v>4.49375</x:v>
      </x:c>
      <x:c r="G52" s="28" t="n">
        <x:f>Source!F38</x:f>
        <x:v>24.58125</x:v>
      </x:c>
      <x:c r="H52" s="28" t="n">
        <x:f>Source!G38</x:f>
        <x:v>-58.1</x:v>
      </x:c>
      <x:c r="I52" s="28" t="n">
        <x:f>Source!H38</x:f>
        <x:v>60.775</x:v>
      </x:c>
      <x:c r="J52" s="28" t="n">
        <x:f>Source!I38</x:f>
        <x:v>-2.01875</x:v>
      </x:c>
      <x:c r="K52" s="28" t="n">
        <x:f>Source!J38</x:f>
        <x:v>46.34375</x:v>
      </x:c>
      <x:c r="L52" s="28" t="n">
        <x:f>Source!K38</x:f>
        <x:v>-106</x:v>
      </x:c>
      <x:c r="M52" s="28" t="n">
        <x:f>Source!L38</x:f>
        <x:v>77.75</x:v>
      </x:c>
      <x:c r="N52" s="28" t="n">
        <x:f>Source!M38</x:f>
        <x:v>8.1875</x:v>
      </x:c>
      <x:c r="O52" s="28" t="n">
        <x:f>Source!N38</x:f>
        <x:v>50.0625</x:v>
      </x:c>
      <x:c r="P52" s="29" t="n">
        <x:f>SUM(P49:P51)</x:f>
        <x:v>-12.5</x:v>
      </x:c>
      <x:c r="Q52" s="29" t="n">
        <x:f>SUM(Q49:Q51)</x:f>
        <x:v>-12.5</x:v>
      </x:c>
      <x:c r="R52" s="29" t="n">
        <x:f>SUM(R49:R51)</x:f>
        <x:v>-12.5</x:v>
      </x:c>
      <x:c r="S52" s="29" t="n">
        <x:f>SUM(S49:S51)</x:f>
        <x:v>-12.5</x:v>
      </x:c>
      <x:c r="T52" s="29" t="n">
        <x:f>SUM(T49:T51)</x:f>
        <x:v>-12.5</x:v>
      </x:c>
      <x:c r="U52" s="29" t="n">
        <x:f>SUM(U49:U51)</x:f>
        <x:v>-12.5</x:v>
      </x:c>
      <x:c r="V52" s="29" t="n">
        <x:f>SUM(V49:V51)</x:f>
        <x:v>-12.5</x:v>
      </x:c>
      <x:c r="W52" s="29" t="n">
        <x:f>SUM(W49:W51)</x:f>
        <x:v>-12.5</x:v>
      </x:c>
      <x:c r="X52" s="29" t="n">
        <x:f>SUM(X49:X51)</x:f>
        <x:v>-12.5</x:v>
      </x:c>
      <x:c r="Y52" s="29" t="n">
        <x:f>SUM(Y49:Y51)</x:f>
        <x:v>-12.5</x:v>
      </x:c>
      <x:c r="Z52" s="29" t="n">
        <x:f>SUM(Z49:Z51)</x:f>
        <x:v>-12.5</x:v>
      </x:c>
      <x:c r="AA52" s="29" t="n">
        <x:f>SUM(AA49:AA51)</x:f>
        <x:v>-12.5</x:v>
      </x:c>
    </x:row>
    <x:row r="53" ht="21" customHeight="1">
      <x:c r="A53" s="1"/>
      <x:c r="B53" s="1"/>
      <x:c r="C53" s="27" t="str">
        <x:v>Change in cash</x:v>
      </x:c>
      <x:c r="D53" s="29" t="n">
        <x:f>SUM(D46,D48,D52)</x:f>
        <x:v>29.200000000000003</x:v>
      </x:c>
      <x:c r="E53" s="29" t="n">
        <x:f>SUM(E46,E48,E52)</x:f>
        <x:v>3.8249999999999993</x:v>
      </x:c>
      <x:c r="F53" s="29" t="n">
        <x:f>SUM(F46,F48,F52)</x:f>
        <x:v>1.3937500000000007</x:v>
      </x:c>
      <x:c r="G53" s="29" t="n">
        <x:f>SUM(G46,G48,G52)</x:f>
        <x:v>3.5812500000000007</x:v>
      </x:c>
      <x:c r="H53" s="29" t="n">
        <x:f>SUM(H46,H48,H52)</x:f>
        <x:v>8.219999999999992</x:v>
      </x:c>
      <x:c r="I53" s="29" t="n">
        <x:f>SUM(I46,I48,I52)</x:f>
        <x:v>29.095</x:v>
      </x:c>
      <x:c r="J53" s="29" t="n">
        <x:f>SUM(J46,J48,J52)</x:f>
        <x:v>2.2212499999999986</x:v>
      </x:c>
      <x:c r="K53" s="29" t="n">
        <x:f>SUM(K46,K48,K52)</x:f>
        <x:v>31.463749999999997</x:v>
      </x:c>
      <x:c r="L53" s="29" t="n">
        <x:f>SUM(L46,L48,L52)</x:f>
        <x:v>3.5999999999999943</x:v>
      </x:c>
      <x:c r="M53" s="29" t="n">
        <x:f>SUM(M46,M48,M52)</x:f>
        <x:v>36.45</x:v>
      </x:c>
      <x:c r="N53" s="29" t="n">
        <x:f>SUM(N46,N48,N52)</x:f>
        <x:v>2.5874999999999986</x:v>
      </x:c>
      <x:c r="O53" s="29" t="n">
        <x:f>SUM(O46,O48,O52)</x:f>
        <x:v>37.3625</x:v>
      </x:c>
      <x:c r="P53" s="29" t="n">
        <x:f>SUM(P46,P48,P52)</x:f>
        <x:v>51.63637213989064</x:v>
      </x:c>
      <x:c r="Q53" s="29" t="n">
        <x:f>SUM(Q46,Q48,Q52)</x:f>
        <x:v>-21.2445822720604</x:v>
      </x:c>
      <x:c r="R53" s="29" t="n">
        <x:f>SUM(R46,R48,R52)</x:f>
        <x:v>-5.17887818942647</x:v>
      </x:c>
      <x:c r="S53" s="29" t="n">
        <x:f>SUM(S46,S48,S52)</x:f>
        <x:v>-9.167511291514494</x:v>
      </x:c>
      <x:c r="T53" s="29" t="n">
        <x:f>SUM(T46,T48,T52)</x:f>
        <x:v>65.79668958083374</x:v>
      </x:c>
      <x:c r="U53" s="29" t="n">
        <x:f>SUM(U46,U48,U52)</x:f>
        <x:v>-17.649661664370278</x:v>
      </x:c>
      <x:c r="V53" s="29" t="n">
        <x:f>SUM(V46,V48,V52)</x:f>
        <x:v>-2.426271240559334</x:v>
      </x:c>
      <x:c r="W53" s="29" t="n">
        <x:f>SUM(W46,W48,W52)</x:f>
        <x:v>-6.785765124652155</x:v>
      </x:c>
      <x:c r="X53" s="29" t="n">
        <x:f>SUM(X46,X48,X52)</x:f>
        <x:v>76.86792733380717</x:v>
      </x:c>
      <x:c r="Y53" s="29" t="n">
        <x:f>SUM(Y46,Y48,Y52)</x:f>
        <x:v>-15.857164527097328</x:v>
      </x:c>
      <x:c r="Z53" s="29" t="n">
        <x:f>SUM(Z46,Z48,Z52)</x:f>
        <x:v>0.5735337503367504</x:v>
      </x:c>
      <x:c r="AA53" s="29" t="n">
        <x:f>SUM(AA46,AA48,AA52)</x:f>
        <x:v>-4.145283024765199</x:v>
      </x:c>
    </x:row>
    <x:row r="54" ht="21" customHeight="1">
      <x:c r="A54" s="1"/>
      <x:c r="B54" s="1"/>
      <x:c r="C54" s="1" t="str">
        <x:v>Opening cash</x:v>
      </x:c>
      <x:c r="D54" s="8" t="n">
        <x:f>Assumptions!$D$30</x:f>
        <x:v>21.8</x:v>
      </x:c>
      <x:c r="E54" s="8" t="n">
        <x:f>Source!D40</x:f>
        <x:v>51</x:v>
      </x:c>
      <x:c r="F54" s="8" t="n">
        <x:f>Source!E40</x:f>
        <x:v>54.825</x:v>
      </x:c>
      <x:c r="G54" s="8" t="n">
        <x:f>Source!F40</x:f>
        <x:v>56.21875</x:v>
      </x:c>
      <x:c r="H54" s="8" t="n">
        <x:f>Source!G40</x:f>
        <x:v>59.8</x:v>
      </x:c>
      <x:c r="I54" s="8" t="n">
        <x:f>Source!H40</x:f>
        <x:v>68.02</x:v>
      </x:c>
      <x:c r="J54" s="8" t="n">
        <x:f>Source!I40</x:f>
        <x:v>97.115</x:v>
      </x:c>
      <x:c r="K54" s="8" t="n">
        <x:f>Source!J40</x:f>
        <x:v>99.33625</x:v>
      </x:c>
      <x:c r="L54" s="8" t="n">
        <x:f>Source!K40</x:f>
        <x:v>130.8</x:v>
      </x:c>
      <x:c r="M54" s="8" t="n">
        <x:f>Source!L40</x:f>
        <x:v>134.4</x:v>
      </x:c>
      <x:c r="N54" s="8" t="n">
        <x:f>Source!M40</x:f>
        <x:v>170.85</x:v>
      </x:c>
      <x:c r="O54" s="8" t="n">
        <x:f>Source!N40</x:f>
        <x:v>173.4375</x:v>
      </x:c>
      <x:c r="P54" s="20" t="n">
        <x:f>O55</x:f>
        <x:v>210.8</x:v>
      </x:c>
      <x:c r="Q54" s="20" t="n">
        <x:f>P55</x:f>
        <x:v>262.43637213989064</x:v>
      </x:c>
      <x:c r="R54" s="20" t="n">
        <x:f>Q55</x:f>
        <x:v>241.19178986783024</x:v>
      </x:c>
      <x:c r="S54" s="20" t="n">
        <x:f>R55</x:f>
        <x:v>236.01291167840378</x:v>
      </x:c>
      <x:c r="T54" s="20" t="n">
        <x:f>S55</x:f>
        <x:v>226.84540038688928</x:v>
      </x:c>
      <x:c r="U54" s="20" t="n">
        <x:f>T55</x:f>
        <x:v>292.642089967723</x:v>
      </x:c>
      <x:c r="V54" s="20" t="n">
        <x:f>U55</x:f>
        <x:v>274.9924283033527</x:v>
      </x:c>
      <x:c r="W54" s="20" t="n">
        <x:f>V55</x:f>
        <x:v>272.56615706279337</x:v>
      </x:c>
      <x:c r="X54" s="20" t="n">
        <x:f>W55</x:f>
        <x:v>265.78039193814124</x:v>
      </x:c>
      <x:c r="Y54" s="20" t="n">
        <x:f>X55</x:f>
        <x:v>342.6483192719484</x:v>
      </x:c>
      <x:c r="Z54" s="20" t="n">
        <x:f>Y55</x:f>
        <x:v>326.7911547448511</x:v>
      </x:c>
      <x:c r="AA54" s="20" t="n">
        <x:f>Z55</x:f>
        <x:v>327.36468849518786</x:v>
      </x:c>
    </x:row>
    <x:row r="55" ht="21" customHeight="1">
      <x:c r="A55" s="1"/>
      <x:c r="B55" s="1"/>
      <x:c r="C55" s="27" t="str">
        <x:v>Closing cash</x:v>
      </x:c>
      <x:c r="D55" s="28" t="n">
        <x:f>Source!C41</x:f>
        <x:v>51</x:v>
      </x:c>
      <x:c r="E55" s="28" t="n">
        <x:f>Source!D41</x:f>
        <x:v>54.825</x:v>
      </x:c>
      <x:c r="F55" s="28" t="n">
        <x:f>Source!E41</x:f>
        <x:v>56.21875</x:v>
      </x:c>
      <x:c r="G55" s="28" t="n">
        <x:f>Source!F41</x:f>
        <x:v>59.8</x:v>
      </x:c>
      <x:c r="H55" s="28" t="n">
        <x:f>Source!G41</x:f>
        <x:v>68.02</x:v>
      </x:c>
      <x:c r="I55" s="28" t="n">
        <x:f>Source!H41</x:f>
        <x:v>97.115</x:v>
      </x:c>
      <x:c r="J55" s="28" t="n">
        <x:f>Source!I41</x:f>
        <x:v>99.33625</x:v>
      </x:c>
      <x:c r="K55" s="28" t="n">
        <x:f>Source!J41</x:f>
        <x:v>130.8</x:v>
      </x:c>
      <x:c r="L55" s="28" t="n">
        <x:f>Source!K41</x:f>
        <x:v>134.4</x:v>
      </x:c>
      <x:c r="M55" s="28" t="n">
        <x:f>Source!L41</x:f>
        <x:v>170.85</x:v>
      </x:c>
      <x:c r="N55" s="28" t="n">
        <x:f>Source!M41</x:f>
        <x:v>173.4375</x:v>
      </x:c>
      <x:c r="O55" s="28" t="n">
        <x:f>Source!N41</x:f>
        <x:v>210.8</x:v>
      </x:c>
      <x:c r="P55" s="29" t="n">
        <x:f>P54+P53</x:f>
        <x:v>262.43637213989064</x:v>
      </x:c>
      <x:c r="Q55" s="29" t="n">
        <x:f>Q54+Q53</x:f>
        <x:v>241.19178986783024</x:v>
      </x:c>
      <x:c r="R55" s="29" t="n">
        <x:f>R54+R53</x:f>
        <x:v>236.01291167840378</x:v>
      </x:c>
      <x:c r="S55" s="29" t="n">
        <x:f>S54+S53</x:f>
        <x:v>226.84540038688928</x:v>
      </x:c>
      <x:c r="T55" s="29" t="n">
        <x:f>T54+T53</x:f>
        <x:v>292.642089967723</x:v>
      </x:c>
      <x:c r="U55" s="29" t="n">
        <x:f>U54+U53</x:f>
        <x:v>274.9924283033527</x:v>
      </x:c>
      <x:c r="V55" s="29" t="n">
        <x:f>V54+V53</x:f>
        <x:v>272.56615706279337</x:v>
      </x:c>
      <x:c r="W55" s="29" t="n">
        <x:f>W54+W53</x:f>
        <x:v>265.78039193814124</x:v>
      </x:c>
      <x:c r="X55" s="29" t="n">
        <x:f>X54+X53</x:f>
        <x:v>342.6483192719484</x:v>
      </x:c>
      <x:c r="Y55" s="29" t="n">
        <x:f>Y54+Y53</x:f>
        <x:v>326.7911547448511</x:v>
      </x:c>
      <x:c r="Z55" s="29" t="n">
        <x:f>Z54+Z53</x:f>
        <x:v>327.36468849518786</x:v>
      </x:c>
      <x:c r="AA55" s="29" t="n">
        <x:f>AA54+AA53</x:f>
        <x:v>323.21940547042266</x:v>
      </x:c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A57" s="1"/>
      <x:c r="B57" s="1"/>
      <x:c r="C57" s="15" t="str">
        <x:v>Asset and debt schedules</x:v>
      </x:c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  <x:c r="AA57" s="16"/>
    </x:row>
    <x:row r="58" ht="21" customHeight="1">
      <x:c r="A58" s="1"/>
      <x:c r="B58" s="1"/>
      <x:c r="C58" s="1" t="str">
        <x:v>Opening net PP&amp;E</x:v>
      </x:c>
      <x:c r="D58" s="8" t="n">
        <x:f>Assumptions!$D$32</x:f>
        <x:v>420</x:v>
      </x:c>
      <x:c r="E58" s="20" t="n">
        <x:f>D27</x:f>
        <x:v>425</x:v>
      </x:c>
      <x:c r="F58" s="20" t="n">
        <x:f>E27</x:f>
        <x:v>455</x:v>
      </x:c>
      <x:c r="G58" s="20" t="n">
        <x:f>F27</x:f>
        <x:v>470</x:v>
      </x:c>
      <x:c r="H58" s="20" t="n">
        <x:f>G27</x:f>
        <x:v>500</x:v>
      </x:c>
      <x:c r="I58" s="20" t="n">
        <x:f>H27</x:f>
        <x:v>473</x:v>
      </x:c>
      <x:c r="J58" s="20" t="n">
        <x:f>I27</x:f>
        <x:v>506</x:v>
      </x:c>
      <x:c r="K58" s="20" t="n">
        <x:f>J27</x:f>
        <x:v>522.5</x:v>
      </x:c>
      <x:c r="L58" s="20" t="n">
        <x:f>K27</x:f>
        <x:v>550</x:v>
      </x:c>
      <x:c r="M58" s="20" t="n">
        <x:f>L27</x:f>
        <x:v>504</x:v>
      </x:c>
      <x:c r="N58" s="20" t="n">
        <x:f>M27</x:f>
        <x:v>546</x:v>
      </x:c>
      <x:c r="O58" s="20" t="n">
        <x:f>N27</x:f>
        <x:v>570</x:v>
      </x:c>
      <x:c r="P58" s="20" t="n">
        <x:f>O27</x:f>
        <x:v>600</x:v>
      </x:c>
      <x:c r="Q58" s="20" t="n">
        <x:f>P27</x:f>
        <x:v>609.4225208333334</x:v>
      </x:c>
      <x:c r="R58" s="20" t="n">
        <x:f>Q27</x:f>
        <x:v>617.1948125</x:v>
      </x:c>
      <x:c r="S58" s="20" t="n">
        <x:f>R27</x:f>
        <x:v>627.8147291666667</x:v>
      </x:c>
      <x:c r="T58" s="20" t="n">
        <x:f>S27</x:f>
        <x:v>639.4752916666666</x:v>
      </x:c>
      <x:c r="U58" s="20" t="n">
        <x:f>T27</x:f>
        <x:v>648.483339375</x:v>
      </x:c>
      <x:c r="V58" s="20" t="n">
        <x:f>U27</x:f>
        <x:v>655.6926372916668</x:v>
      </x:c>
      <x:c r="W58" s="20" t="n">
        <x:f>V27</x:f>
        <x:v>666.0058464583335</x:v>
      </x:c>
      <x:c r="X58" s="20" t="n">
        <x:f>W27</x:f>
        <x:v>677.4533595833335</x:v>
      </x:c>
      <x:c r="Y58" s="20" t="n">
        <x:f>X27</x:f>
        <x:v>685.7434261083334</x:v>
      </x:c>
      <x:c r="Z58" s="20" t="n">
        <x:f>Y27</x:f>
        <x:v>692.0908428583335</x:v>
      </x:c>
      <x:c r="AA58" s="20" t="n">
        <x:f>Z27</x:f>
        <x:v>701.7904837583335</x:v>
      </x:c>
    </x:row>
    <x:row r="59" ht="21" customHeight="1">
      <x:c r="A59" s="1"/>
      <x:c r="B59" s="1"/>
      <x:c r="C59" s="1" t="str">
        <x:v>Capital expenditure</x:v>
      </x:c>
      <x:c r="D59" s="2" t="str">
        <x:v>n.a.</x:v>
      </x:c>
      <x:c r="E59" s="2" t="str">
        <x:v>n.a.</x:v>
      </x:c>
      <x:c r="F59" s="2" t="str">
        <x:v>n.a.</x:v>
      </x:c>
      <x:c r="G59" s="2" t="str">
        <x:v>n.a.</x:v>
      </x:c>
      <x:c r="H59" s="2" t="str">
        <x:v>n.a.</x:v>
      </x:c>
      <x:c r="I59" s="2" t="str">
        <x:v>n.a.</x:v>
      </x:c>
      <x:c r="J59" s="2" t="str">
        <x:v>n.a.</x:v>
      </x:c>
      <x:c r="K59" s="2" t="str">
        <x:v>n.a.</x:v>
      </x:c>
      <x:c r="L59" s="2" t="str">
        <x:v>n.a.</x:v>
      </x:c>
      <x:c r="M59" s="2" t="str">
        <x:v>n.a.</x:v>
      </x:c>
      <x:c r="N59" s="2" t="str">
        <x:v>n.a.</x:v>
      </x:c>
      <x:c r="O59" s="2" t="str">
        <x:v>n.a.</x:v>
      </x:c>
      <x:c r="P59" s="8" t="n">
        <x:f>P10*Assumptions!D9</x:f>
        <x:v>24.73166666666667</x:v>
      </x:c>
      <x:c r="Q59" s="8" t="n">
        <x:f>Q10*Assumptions!D9</x:f>
        <x:v>23.686666666666667</x:v>
      </x:c>
      <x:c r="R59" s="8" t="n">
        <x:f>R10*Assumptions!D9</x:f>
        <x:v>27.17</x:v>
      </x:c>
      <x:c r="S59" s="8" t="n">
        <x:f>S10*Assumptions!D9</x:f>
        <x:v>28.91166666666667</x:v>
      </x:c>
      <x:c r="T59" s="8" t="n">
        <x:f>T10*Assumptions!E9</x:f>
        <x:v>26.95751666666667</x:v>
      </x:c>
      <x:c r="U59" s="8" t="n">
        <x:f>U10*Assumptions!E9</x:f>
        <x:v>25.818466666666673</x:v>
      </x:c>
      <x:c r="V59" s="8" t="n">
        <x:f>V10*Assumptions!E9</x:f>
        <x:v>29.61530000000001</x:v>
      </x:c>
      <x:c r="W59" s="8" t="n">
        <x:f>W10*Assumptions!E9</x:f>
        <x:v>31.51371666666667</x:v>
      </x:c>
      <x:c r="X59" s="8" t="n">
        <x:f>X10*Assumptions!F9</x:f>
        <x:v>29.114118000000005</x:v>
      </x:c>
      <x:c r="Y59" s="8" t="n">
        <x:f>Y10*Assumptions!F9</x:f>
        <x:v>27.883944000000003</x:v>
      </x:c>
      <x:c r="Z59" s="8" t="n">
        <x:f>Z10*Assumptions!F9</x:f>
        <x:v>31.984524000000008</x:v>
      </x:c>
      <x:c r="AA59" s="8" t="n">
        <x:f>AA10*Assumptions!F9</x:f>
        <x:v>34.034814000000004</x:v>
      </x:c>
    </x:row>
    <x:row r="60" ht="21" customHeight="1">
      <x:c r="A60" s="1"/>
      <x:c r="B60" s="1"/>
      <x:c r="C60" s="1" t="str">
        <x:v>Depreciation of opening 2024 PP&amp;E</x:v>
      </x:c>
      <x:c r="D60" s="2" t="str">
        <x:v>n.a.</x:v>
      </x:c>
      <x:c r="E60" s="2" t="str">
        <x:v>n.a.</x:v>
      </x:c>
      <x:c r="F60" s="2" t="str">
        <x:v>n.a.</x:v>
      </x:c>
      <x:c r="G60" s="2" t="str">
        <x:v>n.a.</x:v>
      </x:c>
      <x:c r="H60" s="2" t="str">
        <x:v>n.a.</x:v>
      </x:c>
      <x:c r="I60" s="2" t="str">
        <x:v>n.a.</x:v>
      </x:c>
      <x:c r="J60" s="2" t="str">
        <x:v>n.a.</x:v>
      </x:c>
      <x:c r="K60" s="2" t="str">
        <x:v>n.a.</x:v>
      </x:c>
      <x:c r="L60" s="2" t="str">
        <x:v>n.a.</x:v>
      </x:c>
      <x:c r="M60" s="2" t="str">
        <x:v>n.a.</x:v>
      </x:c>
      <x:c r="N60" s="2" t="str">
        <x:v>n.a.</x:v>
      </x:c>
      <x:c r="O60" s="2" t="str">
        <x:v>n.a.</x:v>
      </x:c>
      <x:c r="P60" s="8" t="n">
        <x:f>$O$27/Assumptions!$D$28/4</x:f>
        <x:v>15</x:v>
      </x:c>
      <x:c r="Q60" s="8" t="n">
        <x:f>$O$27/Assumptions!$D$28/4</x:f>
        <x:v>15</x:v>
      </x:c>
      <x:c r="R60" s="8" t="n">
        <x:f>$O$27/Assumptions!$D$28/4</x:f>
        <x:v>15</x:v>
      </x:c>
      <x:c r="S60" s="8" t="n">
        <x:f>$O$27/Assumptions!$D$28/4</x:f>
        <x:v>15</x:v>
      </x:c>
      <x:c r="T60" s="8" t="n">
        <x:f>$O$27/Assumptions!$D$28/4</x:f>
        <x:v>15</x:v>
      </x:c>
      <x:c r="U60" s="8" t="n">
        <x:f>$O$27/Assumptions!$D$28/4</x:f>
        <x:v>15</x:v>
      </x:c>
      <x:c r="V60" s="8" t="n">
        <x:f>$O$27/Assumptions!$D$28/4</x:f>
        <x:v>15</x:v>
      </x:c>
      <x:c r="W60" s="8" t="n">
        <x:f>$O$27/Assumptions!$D$28/4</x:f>
        <x:v>15</x:v>
      </x:c>
      <x:c r="X60" s="8" t="n">
        <x:f>$O$27/Assumptions!$D$28/4</x:f>
        <x:v>15</x:v>
      </x:c>
      <x:c r="Y60" s="8" t="n">
        <x:f>$O$27/Assumptions!$D$28/4</x:f>
        <x:v>15</x:v>
      </x:c>
      <x:c r="Z60" s="8" t="n">
        <x:f>$O$27/Assumptions!$D$28/4</x:f>
        <x:v>15</x:v>
      </x:c>
      <x:c r="AA60" s="8" t="n">
        <x:f>$O$27/Assumptions!$D$28/4</x:f>
        <x:v>15</x:v>
      </x:c>
    </x:row>
    <x:row r="61" ht="21" customHeight="1">
      <x:c r="A61" s="1"/>
      <x:c r="B61" s="1"/>
      <x:c r="C61" s="1" t="str">
        <x:v>Depreciation of forecast capex</x:v>
      </x:c>
      <x:c r="D61" s="2" t="str">
        <x:v>n.a.</x:v>
      </x:c>
      <x:c r="E61" s="2" t="str">
        <x:v>n.a.</x:v>
      </x:c>
      <x:c r="F61" s="2" t="str">
        <x:v>n.a.</x:v>
      </x:c>
      <x:c r="G61" s="2" t="str">
        <x:v>n.a.</x:v>
      </x:c>
      <x:c r="H61" s="2" t="str">
        <x:v>n.a.</x:v>
      </x:c>
      <x:c r="I61" s="2" t="str">
        <x:v>n.a.</x:v>
      </x:c>
      <x:c r="J61" s="2" t="str">
        <x:v>n.a.</x:v>
      </x:c>
      <x:c r="K61" s="2" t="str">
        <x:v>n.a.</x:v>
      </x:c>
      <x:c r="L61" s="2" t="str">
        <x:v>n.a.</x:v>
      </x:c>
      <x:c r="M61" s="2" t="str">
        <x:v>n.a.</x:v>
      </x:c>
      <x:c r="N61" s="2" t="str">
        <x:v>n.a.</x:v>
      </x:c>
      <x:c r="O61" s="2" t="str">
        <x:v>n.a.</x:v>
      </x:c>
      <x:c r="P61" s="8" t="n">
        <x:f>P59/Assumptions!$D$29/8</x:f>
        <x:v>0.30914583333333334</x:v>
      </x:c>
      <x:c r="Q61" s="8" t="n">
        <x:f>SUM($P$59:P59)/Assumptions!$D$29/4+Q59/Assumptions!$D$29/8</x:f>
        <x:v>0.914375</x:v>
      </x:c>
      <x:c r="R61" s="8" t="n">
        <x:f>SUM($P$59:Q59)/Assumptions!$D$29/4+R59/Assumptions!$D$29/8</x:f>
        <x:v>1.5500833333333335</x:v>
      </x:c>
      <x:c r="S61" s="8" t="n">
        <x:f>SUM($P$59:R59)/Assumptions!$D$29/4+S59/Assumptions!$D$29/8</x:f>
        <x:v>2.251104166666667</x:v>
      </x:c>
      <x:c r="T61" s="8" t="n">
        <x:f>SUM($P$59:S59)/Assumptions!$D$29/4+T59/Assumptions!$D$29/8</x:f>
        <x:v>2.949468958333333</x:v>
      </x:c>
      <x:c r="U61" s="8" t="n">
        <x:f>SUM($P$59:T59)/Assumptions!$D$29/4+U59/Assumptions!$D$29/8</x:f>
        <x:v>3.60916875</x:v>
      </x:c>
      <x:c r="V61" s="8" t="n">
        <x:f>SUM($P$59:U59)/Assumptions!$D$29/4+V59/Assumptions!$D$29/8</x:f>
        <x:v>4.302090833333334</x:v>
      </x:c>
      <x:c r="W61" s="8" t="n">
        <x:f>SUM($P$59:V59)/Assumptions!$D$29/4+W59/Assumptions!$D$29/8</x:f>
        <x:v>5.066203541666668</x:v>
      </x:c>
      <x:c r="X61" s="8" t="n">
        <x:f>SUM($P$59:W59)/Assumptions!$D$29/4+X59/Assumptions!$D$29/8</x:f>
        <x:v>5.824051475000001</x:v>
      </x:c>
      <x:c r="Y61" s="8" t="n">
        <x:f>SUM($P$59:X59)/Assumptions!$D$29/4+Y59/Assumptions!$D$29/8</x:f>
        <x:v>6.536527250000002</x:v>
      </x:c>
      <x:c r="Z61" s="8" t="n">
        <x:f>SUM($P$59:Y59)/Assumptions!$D$29/4+Z59/Assumptions!$D$29/8</x:f>
        <x:v>7.284883100000001</x:v>
      </x:c>
      <x:c r="AA61" s="8" t="n">
        <x:f>SUM($P$59:Z59)/Assumptions!$D$29/4+AA59/Assumptions!$D$29/8</x:f>
        <x:v>8.110124825000002</x:v>
      </x:c>
    </x:row>
    <x:row r="62" ht="21" customHeight="1">
      <x:c r="A62" s="1"/>
      <x:c r="B62" s="1"/>
      <x:c r="C62" s="27" t="str">
        <x:v>Total depreciation</x:v>
      </x:c>
      <x:c r="D62" s="31" t="str">
        <x:v>n.a.</x:v>
      </x:c>
      <x:c r="E62" s="31" t="str">
        <x:v>n.a.</x:v>
      </x:c>
      <x:c r="F62" s="31" t="str">
        <x:v>n.a.</x:v>
      </x:c>
      <x:c r="G62" s="31" t="str">
        <x:v>n.a.</x:v>
      </x:c>
      <x:c r="H62" s="31" t="str">
        <x:v>n.a.</x:v>
      </x:c>
      <x:c r="I62" s="31" t="str">
        <x:v>n.a.</x:v>
      </x:c>
      <x:c r="J62" s="31" t="str">
        <x:v>n.a.</x:v>
      </x:c>
      <x:c r="K62" s="31" t="str">
        <x:v>n.a.</x:v>
      </x:c>
      <x:c r="L62" s="31" t="str">
        <x:v>n.a.</x:v>
      </x:c>
      <x:c r="M62" s="31" t="str">
        <x:v>n.a.</x:v>
      </x:c>
      <x:c r="N62" s="31" t="str">
        <x:v>n.a.</x:v>
      </x:c>
      <x:c r="O62" s="31" t="str">
        <x:v>n.a.</x:v>
      </x:c>
      <x:c r="P62" s="29" t="n">
        <x:f>SUM(P60:P61)</x:f>
        <x:v>15.309145833333334</x:v>
      </x:c>
      <x:c r="Q62" s="29" t="n">
        <x:f>SUM(Q60:Q61)</x:f>
        <x:v>15.914375</x:v>
      </x:c>
      <x:c r="R62" s="29" t="n">
        <x:f>SUM(R60:R61)</x:f>
        <x:v>16.550083333333333</x:v>
      </x:c>
      <x:c r="S62" s="29" t="n">
        <x:f>SUM(S60:S61)</x:f>
        <x:v>17.251104166666668</x:v>
      </x:c>
      <x:c r="T62" s="29" t="n">
        <x:f>SUM(T60:T61)</x:f>
        <x:v>17.949468958333334</x:v>
      </x:c>
      <x:c r="U62" s="29" t="n">
        <x:f>SUM(U60:U61)</x:f>
        <x:v>18.60916875</x:v>
      </x:c>
      <x:c r="V62" s="29" t="n">
        <x:f>SUM(V60:V61)</x:f>
        <x:v>19.302090833333335</x:v>
      </x:c>
      <x:c r="W62" s="29" t="n">
        <x:f>SUM(W60:W61)</x:f>
        <x:v>20.066203541666667</x:v>
      </x:c>
      <x:c r="X62" s="29" t="n">
        <x:f>SUM(X60:X61)</x:f>
        <x:v>20.824051475</x:v>
      </x:c>
      <x:c r="Y62" s="29" t="n">
        <x:f>SUM(Y60:Y61)</x:f>
        <x:v>21.536527250000002</x:v>
      </x:c>
      <x:c r="Z62" s="29" t="n">
        <x:f>SUM(Z60:Z61)</x:f>
        <x:v>22.284883100000002</x:v>
      </x:c>
      <x:c r="AA62" s="29" t="n">
        <x:f>SUM(AA60:AA61)</x:f>
        <x:v>23.110124825</x:v>
      </x:c>
    </x:row>
    <x:row r="63" ht="21" customHeight="1">
      <x:c r="A63" s="1"/>
      <x:c r="B63" s="1"/>
      <x:c r="C63" s="1" t="str">
        <x:v>Opening total debt</x:v>
      </x:c>
      <x:c r="D63" s="20" t="n">
        <x:f>D66-D49</x:f>
        <x:v>385</x:v>
      </x:c>
      <x:c r="E63" s="20" t="n">
        <x:f>D66</x:f>
        <x:v>383</x:v>
      </x:c>
      <x:c r="F63" s="20" t="n">
        <x:f>E66</x:f>
        <x:v>382.925</x:v>
      </x:c>
      <x:c r="G63" s="20" t="n">
        <x:f>F66</x:f>
        <x:v>382.41875</x:v>
      </x:c>
      <x:c r="H63" s="20" t="n">
        <x:f>G66</x:f>
        <x:v>380</x:v>
      </x:c>
      <x:c r="I63" s="20" t="n">
        <x:f>H66</x:f>
        <x:v>376.9</x:v>
      </x:c>
      <x:c r="J63" s="20" t="n">
        <x:f>I66</x:f>
        <x:v>373.675</x:v>
      </x:c>
      <x:c r="K63" s="20" t="n">
        <x:f>J66</x:f>
        <x:v>370.65625</x:v>
      </x:c>
      <x:c r="L63" s="20" t="n">
        <x:f>K66</x:f>
        <x:v>360</x:v>
      </x:c>
      <x:c r="M63" s="20" t="n">
        <x:f>L66</x:f>
        <x:v>357</x:v>
      </x:c>
      <x:c r="N63" s="20" t="n">
        <x:f>M66</x:f>
        <x:v>356.75</x:v>
      </x:c>
      <x:c r="O63" s="20" t="n">
        <x:f>N66</x:f>
        <x:v>355.9375</x:v>
      </x:c>
      <x:c r="P63" s="20" t="n">
        <x:f>O66</x:f>
        <x:v>350</x:v>
      </x:c>
      <x:c r="Q63" s="20" t="n">
        <x:f>P66</x:f>
        <x:v>337.5</x:v>
      </x:c>
      <x:c r="R63" s="20" t="n">
        <x:f>Q66</x:f>
        <x:v>325</x:v>
      </x:c>
      <x:c r="S63" s="20" t="n">
        <x:f>R66</x:f>
        <x:v>312.5</x:v>
      </x:c>
      <x:c r="T63" s="20" t="n">
        <x:f>S66</x:f>
        <x:v>300</x:v>
      </x:c>
      <x:c r="U63" s="20" t="n">
        <x:f>T66</x:f>
        <x:v>287.5</x:v>
      </x:c>
      <x:c r="V63" s="20" t="n">
        <x:f>U66</x:f>
        <x:v>275</x:v>
      </x:c>
      <x:c r="W63" s="20" t="n">
        <x:f>V66</x:f>
        <x:v>262.5</x:v>
      </x:c>
      <x:c r="X63" s="20" t="n">
        <x:f>W66</x:f>
        <x:v>250</x:v>
      </x:c>
      <x:c r="Y63" s="20" t="n">
        <x:f>X66</x:f>
        <x:v>237.5</x:v>
      </x:c>
      <x:c r="Z63" s="20" t="n">
        <x:f>Y66</x:f>
        <x:v>225</x:v>
      </x:c>
      <x:c r="AA63" s="20" t="n">
        <x:f>Z66</x:f>
        <x:v>212.5</x:v>
      </x:c>
    </x:row>
    <x:row r="64" ht="21" customHeight="1">
      <x:c r="A64" s="1"/>
      <x:c r="B64" s="1"/>
      <x:c r="C64" s="1" t="str">
        <x:v>Principal repayments</x:v>
      </x:c>
      <x:c r="D64" s="2" t="str">
        <x:v>n.a.</x:v>
      </x:c>
      <x:c r="E64" s="2" t="str">
        <x:v>n.a.</x:v>
      </x:c>
      <x:c r="F64" s="2" t="str">
        <x:v>n.a.</x:v>
      </x:c>
      <x:c r="G64" s="2" t="str">
        <x:v>n.a.</x:v>
      </x:c>
      <x:c r="H64" s="2" t="str">
        <x:v>n.a.</x:v>
      </x:c>
      <x:c r="I64" s="2" t="str">
        <x:v>n.a.</x:v>
      </x:c>
      <x:c r="J64" s="2" t="str">
        <x:v>n.a.</x:v>
      </x:c>
      <x:c r="K64" s="2" t="str">
        <x:v>n.a.</x:v>
      </x:c>
      <x:c r="L64" s="2" t="str">
        <x:v>n.a.</x:v>
      </x:c>
      <x:c r="M64" s="2" t="str">
        <x:v>n.a.</x:v>
      </x:c>
      <x:c r="N64" s="2" t="str">
        <x:v>n.a.</x:v>
      </x:c>
      <x:c r="O64" s="2" t="str">
        <x:v>n.a.</x:v>
      </x:c>
      <x:c r="P64" s="8" t="n">
        <x:f>MIN(P63,Assumptions!D12/4)</x:f>
        <x:v>12.5</x:v>
      </x:c>
      <x:c r="Q64" s="8" t="n">
        <x:f>MIN(Q63,Assumptions!D12/4)</x:f>
        <x:v>12.5</x:v>
      </x:c>
      <x:c r="R64" s="8" t="n">
        <x:f>MIN(R63,Assumptions!D12/4)</x:f>
        <x:v>12.5</x:v>
      </x:c>
      <x:c r="S64" s="8" t="n">
        <x:f>MIN(S63,Assumptions!D12/4)</x:f>
        <x:v>12.5</x:v>
      </x:c>
      <x:c r="T64" s="8" t="n">
        <x:f>MIN(T63,Assumptions!E12/4)</x:f>
        <x:v>12.5</x:v>
      </x:c>
      <x:c r="U64" s="8" t="n">
        <x:f>MIN(U63,Assumptions!E12/4)</x:f>
        <x:v>12.5</x:v>
      </x:c>
      <x:c r="V64" s="8" t="n">
        <x:f>MIN(V63,Assumptions!E12/4)</x:f>
        <x:v>12.5</x:v>
      </x:c>
      <x:c r="W64" s="8" t="n">
        <x:f>MIN(W63,Assumptions!E12/4)</x:f>
        <x:v>12.5</x:v>
      </x:c>
      <x:c r="X64" s="8" t="n">
        <x:f>MIN(X63,Assumptions!F12/4)</x:f>
        <x:v>12.5</x:v>
      </x:c>
      <x:c r="Y64" s="8" t="n">
        <x:f>MIN(Y63,Assumptions!F12/4)</x:f>
        <x:v>12.5</x:v>
      </x:c>
      <x:c r="Z64" s="8" t="n">
        <x:f>MIN(Z63,Assumptions!F12/4)</x:f>
        <x:v>12.5</x:v>
      </x:c>
      <x:c r="AA64" s="8" t="n">
        <x:f>MIN(AA63,Assumptions!F12/4)</x:f>
        <x:v>12.5</x:v>
      </x:c>
    </x:row>
    <x:row r="65" ht="21" customHeight="1">
      <x:c r="A65" s="1"/>
      <x:c r="B65" s="1"/>
      <x:c r="C65" s="1" t="str">
        <x:v>New cash borrowings</x:v>
      </x:c>
      <x:c r="D65" s="2" t="str">
        <x:v>n.a.</x:v>
      </x:c>
      <x:c r="E65" s="2" t="str">
        <x:v>n.a.</x:v>
      </x:c>
      <x:c r="F65" s="2" t="str">
        <x:v>n.a.</x:v>
      </x:c>
      <x:c r="G65" s="2" t="str">
        <x:v>n.a.</x:v>
      </x:c>
      <x:c r="H65" s="2" t="str">
        <x:v>n.a.</x:v>
      </x:c>
      <x:c r="I65" s="2" t="str">
        <x:v>n.a.</x:v>
      </x:c>
      <x:c r="J65" s="2" t="str">
        <x:v>n.a.</x:v>
      </x:c>
      <x:c r="K65" s="2" t="str">
        <x:v>n.a.</x:v>
      </x:c>
      <x:c r="L65" s="2" t="str">
        <x:v>n.a.</x:v>
      </x:c>
      <x:c r="M65" s="2" t="str">
        <x:v>n.a.</x:v>
      </x:c>
      <x:c r="N65" s="2" t="str">
        <x:v>n.a.</x:v>
      </x:c>
      <x:c r="O65" s="2" t="str">
        <x:v>n.a.</x:v>
      </x:c>
      <x:c r="P65" s="8" t="n">
        <x:f>Assumptions!D13/4</x:f>
        <x:v>0</x:v>
      </x:c>
      <x:c r="Q65" s="8" t="n">
        <x:f>Assumptions!D13/4</x:f>
        <x:v>0</x:v>
      </x:c>
      <x:c r="R65" s="8" t="n">
        <x:f>Assumptions!D13/4</x:f>
        <x:v>0</x:v>
      </x:c>
      <x:c r="S65" s="8" t="n">
        <x:f>Assumptions!D13/4</x:f>
        <x:v>0</x:v>
      </x:c>
      <x:c r="T65" s="8" t="n">
        <x:f>Assumptions!E13/4</x:f>
        <x:v>0</x:v>
      </x:c>
      <x:c r="U65" s="8" t="n">
        <x:f>Assumptions!E13/4</x:f>
        <x:v>0</x:v>
      </x:c>
      <x:c r="V65" s="8" t="n">
        <x:f>Assumptions!E13/4</x:f>
        <x:v>0</x:v>
      </x:c>
      <x:c r="W65" s="8" t="n">
        <x:f>Assumptions!E13/4</x:f>
        <x:v>0</x:v>
      </x:c>
      <x:c r="X65" s="8" t="n">
        <x:f>Assumptions!F13/4</x:f>
        <x:v>0</x:v>
      </x:c>
      <x:c r="Y65" s="8" t="n">
        <x:f>Assumptions!F13/4</x:f>
        <x:v>0</x:v>
      </x:c>
      <x:c r="Z65" s="8" t="n">
        <x:f>Assumptions!F13/4</x:f>
        <x:v>0</x:v>
      </x:c>
      <x:c r="AA65" s="8" t="n">
        <x:f>Assumptions!F13/4</x:f>
        <x:v>0</x:v>
      </x:c>
    </x:row>
    <x:row r="66" ht="21" customHeight="1">
      <x:c r="A66" s="1"/>
      <x:c r="B66" s="1"/>
      <x:c r="C66" s="27" t="str">
        <x:v>Closing total debt</x:v>
      </x:c>
      <x:c r="D66" s="29" t="n">
        <x:f>D31+D33</x:f>
        <x:v>383</x:v>
      </x:c>
      <x:c r="E66" s="29" t="n">
        <x:f>E31+E33</x:f>
        <x:v>382.925</x:v>
      </x:c>
      <x:c r="F66" s="29" t="n">
        <x:f>F31+F33</x:f>
        <x:v>382.41875</x:v>
      </x:c>
      <x:c r="G66" s="29" t="n">
        <x:f>G31+G33</x:f>
        <x:v>380</x:v>
      </x:c>
      <x:c r="H66" s="29" t="n">
        <x:f>H31+H33</x:f>
        <x:v>376.9</x:v>
      </x:c>
      <x:c r="I66" s="29" t="n">
        <x:f>I31+I33</x:f>
        <x:v>373.675</x:v>
      </x:c>
      <x:c r="J66" s="29" t="n">
        <x:f>J31+J33</x:f>
        <x:v>370.65625</x:v>
      </x:c>
      <x:c r="K66" s="29" t="n">
        <x:f>K31+K33</x:f>
        <x:v>360</x:v>
      </x:c>
      <x:c r="L66" s="29" t="n">
        <x:f>L31+L33</x:f>
        <x:v>357</x:v>
      </x:c>
      <x:c r="M66" s="29" t="n">
        <x:f>M31+M33</x:f>
        <x:v>356.75</x:v>
      </x:c>
      <x:c r="N66" s="29" t="n">
        <x:f>N31+N33</x:f>
        <x:v>355.9375</x:v>
      </x:c>
      <x:c r="O66" s="29" t="n">
        <x:f>O31+O33</x:f>
        <x:v>350</x:v>
      </x:c>
      <x:c r="P66" s="29" t="n">
        <x:f>P63-P64+P65</x:f>
        <x:v>337.5</x:v>
      </x:c>
      <x:c r="Q66" s="29" t="n">
        <x:f>Q63-Q64+Q65</x:f>
        <x:v>325</x:v>
      </x:c>
      <x:c r="R66" s="29" t="n">
        <x:f>R63-R64+R65</x:f>
        <x:v>312.5</x:v>
      </x:c>
      <x:c r="S66" s="29" t="n">
        <x:f>S63-S64+S65</x:f>
        <x:v>300</x:v>
      </x:c>
      <x:c r="T66" s="29" t="n">
        <x:f>T63-T64+T65</x:f>
        <x:v>287.5</x:v>
      </x:c>
      <x:c r="U66" s="29" t="n">
        <x:f>U63-U64+U65</x:f>
        <x:v>275</x:v>
      </x:c>
      <x:c r="V66" s="29" t="n">
        <x:f>V63-V64+V65</x:f>
        <x:v>262.5</x:v>
      </x:c>
      <x:c r="W66" s="29" t="n">
        <x:f>W63-W64+W65</x:f>
        <x:v>250</x:v>
      </x:c>
      <x:c r="X66" s="29" t="n">
        <x:f>X63-X64+X65</x:f>
        <x:v>237.5</x:v>
      </x:c>
      <x:c r="Y66" s="29" t="n">
        <x:f>Y63-Y64+Y65</x:f>
        <x:v>225</x:v>
      </x:c>
      <x:c r="Z66" s="29" t="n">
        <x:f>Z63-Z64+Z65</x:f>
        <x:v>212.5</x:v>
      </x:c>
      <x:c r="AA66" s="29" t="n">
        <x:f>AA63-AA64+AA65</x:f>
        <x:v>200</x:v>
      </x:c>
    </x:row>
    <x:row r="67" ht="21" customHeight="1">
      <x:c r="A67" s="1"/>
      <x:c r="B67" s="1"/>
      <x:c r="C67" s="1" t="str">
        <x:v>Average total debt</x:v>
      </x:c>
      <x:c r="D67" s="20" t="n">
        <x:f>AVERAGE(D63,D66)</x:f>
        <x:v>384</x:v>
      </x:c>
      <x:c r="E67" s="20" t="n">
        <x:f>AVERAGE(E63,E66)</x:f>
        <x:v>382.9625</x:v>
      </x:c>
      <x:c r="F67" s="20" t="n">
        <x:f>AVERAGE(F63,F66)</x:f>
        <x:v>382.671875</x:v>
      </x:c>
      <x:c r="G67" s="20" t="n">
        <x:f>AVERAGE(G63,G66)</x:f>
        <x:v>381.209375</x:v>
      </x:c>
      <x:c r="H67" s="20" t="n">
        <x:f>AVERAGE(H63,H66)</x:f>
        <x:v>378.45</x:v>
      </x:c>
      <x:c r="I67" s="20" t="n">
        <x:f>AVERAGE(I63,I66)</x:f>
        <x:v>375.2875</x:v>
      </x:c>
      <x:c r="J67" s="20" t="n">
        <x:f>AVERAGE(J63,J66)</x:f>
        <x:v>372.165625</x:v>
      </x:c>
      <x:c r="K67" s="20" t="n">
        <x:f>AVERAGE(K63,K66)</x:f>
        <x:v>365.328125</x:v>
      </x:c>
      <x:c r="L67" s="20" t="n">
        <x:f>AVERAGE(L63,L66)</x:f>
        <x:v>358.5</x:v>
      </x:c>
      <x:c r="M67" s="20" t="n">
        <x:f>AVERAGE(M63,M66)</x:f>
        <x:v>356.875</x:v>
      </x:c>
      <x:c r="N67" s="20" t="n">
        <x:f>AVERAGE(N63,N66)</x:f>
        <x:v>356.34375</x:v>
      </x:c>
      <x:c r="O67" s="20" t="n">
        <x:f>AVERAGE(O63,O66)</x:f>
        <x:v>352.96875</x:v>
      </x:c>
      <x:c r="P67" s="20" t="n">
        <x:f>AVERAGE(P63,P66)</x:f>
        <x:v>343.75</x:v>
      </x:c>
      <x:c r="Q67" s="20" t="n">
        <x:f>AVERAGE(Q63,Q66)</x:f>
        <x:v>331.25</x:v>
      </x:c>
      <x:c r="R67" s="20" t="n">
        <x:f>AVERAGE(R63,R66)</x:f>
        <x:v>318.75</x:v>
      </x:c>
      <x:c r="S67" s="20" t="n">
        <x:f>AVERAGE(S63,S66)</x:f>
        <x:v>306.25</x:v>
      </x:c>
      <x:c r="T67" s="20" t="n">
        <x:f>AVERAGE(T63,T66)</x:f>
        <x:v>293.75</x:v>
      </x:c>
      <x:c r="U67" s="20" t="n">
        <x:f>AVERAGE(U63,U66)</x:f>
        <x:v>281.25</x:v>
      </x:c>
      <x:c r="V67" s="20" t="n">
        <x:f>AVERAGE(V63,V66)</x:f>
        <x:v>268.75</x:v>
      </x:c>
      <x:c r="W67" s="20" t="n">
        <x:f>AVERAGE(W63,W66)</x:f>
        <x:v>256.25</x:v>
      </x:c>
      <x:c r="X67" s="20" t="n">
        <x:f>AVERAGE(X63,X66)</x:f>
        <x:v>243.75</x:v>
      </x:c>
      <x:c r="Y67" s="20" t="n">
        <x:f>AVERAGE(Y63,Y66)</x:f>
        <x:v>231.25</x:v>
      </x:c>
      <x:c r="Z67" s="20" t="n">
        <x:f>AVERAGE(Z63,Z66)</x:f>
        <x:v>218.75</x:v>
      </x:c>
      <x:c r="AA67" s="20" t="n">
        <x:f>AVERAGE(AA63,AA66)</x:f>
        <x:v>206.25</x:v>
      </x:c>
    </x:row>
    <x:row r="68" ht="21" customHeight="1">
      <x:c r="A68" s="1"/>
      <x:c r="B68" s="1"/>
      <x:c r="C68" s="1" t="str">
        <x:v>Annual borrowing rate</x:v>
      </x:c>
      <x:c r="D68" s="33" t="str">
        <x:v>n.a.</x:v>
      </x:c>
      <x:c r="E68" s="33" t="str">
        <x:v>n.a.</x:v>
      </x:c>
      <x:c r="F68" s="33" t="str">
        <x:v>n.a.</x:v>
      </x:c>
      <x:c r="G68" s="33" t="str">
        <x:v>n.a.</x:v>
      </x:c>
      <x:c r="H68" s="33" t="str">
        <x:v>n.a.</x:v>
      </x:c>
      <x:c r="I68" s="33" t="str">
        <x:v>n.a.</x:v>
      </x:c>
      <x:c r="J68" s="33" t="str">
        <x:v>n.a.</x:v>
      </x:c>
      <x:c r="K68" s="33" t="str">
        <x:v>n.a.</x:v>
      </x:c>
      <x:c r="L68" s="33" t="str">
        <x:v>n.a.</x:v>
      </x:c>
      <x:c r="M68" s="33" t="str">
        <x:v>n.a.</x:v>
      </x:c>
      <x:c r="N68" s="33" t="str">
        <x:v>n.a.</x:v>
      </x:c>
      <x:c r="O68" s="33" t="str">
        <x:v>n.a.</x:v>
      </x:c>
      <x:c r="P68" s="10" t="n">
        <x:f>Assumptions!D11</x:f>
        <x:v>0.056338028169014086</x:v>
      </x:c>
      <x:c r="Q68" s="10" t="n">
        <x:f>Assumptions!D11</x:f>
        <x:v>0.056338028169014086</x:v>
      </x:c>
      <x:c r="R68" s="10" t="n">
        <x:f>Assumptions!D11</x:f>
        <x:v>0.056338028169014086</x:v>
      </x:c>
      <x:c r="S68" s="10" t="n">
        <x:f>Assumptions!D11</x:f>
        <x:v>0.056338028169014086</x:v>
      </x:c>
      <x:c r="T68" s="10" t="n">
        <x:f>Assumptions!E11</x:f>
        <x:v>0.056338028169014086</x:v>
      </x:c>
      <x:c r="U68" s="10" t="n">
        <x:f>Assumptions!E11</x:f>
        <x:v>0.056338028169014086</x:v>
      </x:c>
      <x:c r="V68" s="10" t="n">
        <x:f>Assumptions!E11</x:f>
        <x:v>0.056338028169014086</x:v>
      </x:c>
      <x:c r="W68" s="10" t="n">
        <x:f>Assumptions!E11</x:f>
        <x:v>0.056338028169014086</x:v>
      </x:c>
      <x:c r="X68" s="10" t="n">
        <x:f>Assumptions!F11</x:f>
        <x:v>0.056338028169014086</x:v>
      </x:c>
      <x:c r="Y68" s="10" t="n">
        <x:f>Assumptions!F11</x:f>
        <x:v>0.056338028169014086</x:v>
      </x:c>
      <x:c r="Z68" s="10" t="n">
        <x:f>Assumptions!F11</x:f>
        <x:v>0.056338028169014086</x:v>
      </x:c>
      <x:c r="AA68" s="10" t="n">
        <x:f>Assumptions!F11</x:f>
        <x:v>0.056338028169014086</x:v>
      </x:c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A92" s="1"/>
      <x:c r="B92" s="1"/>
      <x:c r="C92" s="36" t="str">
        <x:v>Annual financial statements</x:v>
      </x:c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A93" s="1"/>
      <x:c r="B93" s="1"/>
      <x:c r="C93" s="1" t="str">
        <x:v>USD millions. Income and cash flows sum quarters; balance sheets use Q4.</x:v>
      </x:c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A95" s="1"/>
      <x:c r="B95" s="1"/>
      <x:c r="C95" s="1"/>
      <x:c r="D95" s="40" t="str">
        <x:v>2021</x:v>
      </x:c>
      <x:c r="E95" s="40" t="str">
        <x:v>2022</x:v>
      </x:c>
      <x:c r="F95" s="40" t="str">
        <x:v>2023</x:v>
      </x:c>
      <x:c r="G95" s="40" t="str">
        <x:v>2024</x:v>
      </x:c>
      <x:c r="H95" s="40" t="str">
        <x:v>2025</x:v>
      </x:c>
      <x:c r="I95" s="40" t="str">
        <x:v>2026</x:v>
      </x:c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A96" s="1"/>
      <x:c r="B96" s="1"/>
      <x:c r="C96" s="1"/>
      <x:c r="D96" s="39" t="str">
        <x:v>Historical basis</x:v>
      </x:c>
      <x:c r="E96" s="39" t="str">
        <x:v>Historical basis</x:v>
      </x:c>
      <x:c r="F96" s="39" t="str">
        <x:v>Historical basis</x:v>
      </x:c>
      <x:c r="G96" s="39" t="str">
        <x:v>Base</x:v>
      </x:c>
      <x:c r="H96" s="39" t="str">
        <x:v>Base</x:v>
      </x:c>
      <x:c r="I96" s="39" t="str">
        <x:v>Base</x:v>
      </x:c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A97" s="1"/>
      <x:c r="B97" s="1"/>
      <x:c r="C97" s="15" t="str">
        <x:v>Income statement</x:v>
      </x:c>
      <x:c r="D97" s="16"/>
      <x:c r="E97" s="16"/>
      <x:c r="F97" s="16"/>
      <x:c r="G97" s="16"/>
      <x:c r="H97" s="16"/>
      <x:c r="I97" s="16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A98" s="1"/>
      <x:c r="B98" s="1"/>
      <x:c r="C98" s="27" t="str">
        <x:v>Revenue</x:v>
      </x:c>
      <x:c r="D98" s="31" t="n">
        <x:f>SUM('Base Case'!D10:G10)</x:f>
        <x:v>720.0000000000001</x:v>
      </x:c>
      <x:c r="E98" s="31" t="n">
        <x:f>SUM('Base Case'!H10:K10)</x:f>
        <x:v>850</x:v>
      </x:c>
      <x:c r="F98" s="31" t="n">
        <x:f>SUM('Base Case'!L10:O10)</x:f>
        <x:v>950</x:v>
      </x:c>
      <x:c r="G98" s="31" t="n">
        <x:f>SUM('Base Case'!P10:S10)</x:f>
        <x:v>1045</x:v>
      </x:c>
      <x:c r="H98" s="31" t="n">
        <x:f>SUM('Base Case'!T10:W10)</x:f>
        <x:v>1139.0500000000002</x:v>
      </x:c>
      <x:c r="I98" s="31" t="n">
        <x:f>SUM('Base Case'!X10:AA10)</x:f>
        <x:v>1230.1740000000002</x:v>
      </x:c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A99" s="1"/>
      <x:c r="B99" s="1"/>
      <x:c r="C99" s="41" t="str">
        <x:v>Revenue growth</x:v>
      </x:c>
      <x:c r="D99" s="42" t="str">
        <x:f>"n.a."</x:f>
        <x:v>n.a.</x:v>
      </x:c>
      <x:c r="E99" s="42" t="n">
        <x:f>E98/D98-1</x:f>
        <x:v>0.18055555555555536</x:v>
      </x:c>
      <x:c r="F99" s="42" t="n">
        <x:f>F98/E98-1</x:f>
        <x:v>0.11764705882352944</x:v>
      </x:c>
      <x:c r="G99" s="42" t="n">
        <x:f>G98/F98-1</x:f>
        <x:v>0.10000000000000009</x:v>
      </x:c>
      <x:c r="H99" s="42" t="n">
        <x:f>H98/G98-1</x:f>
        <x:v>0.09000000000000008</x:v>
      </x:c>
      <x:c r="I99" s="42" t="n">
        <x:f>I98/H98-1</x:f>
        <x:v>0.08000000000000007</x:v>
      </x:c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A100" s="1"/>
      <x:c r="B100" s="1"/>
      <x:c r="C100" s="1" t="str">
        <x:v>Cost of goods sold</x:v>
      </x:c>
      <x:c r="D100" s="2" t="n">
        <x:f>SUM('Base Case'!D11:G11)</x:f>
        <x:v>432</x:v>
      </x:c>
      <x:c r="E100" s="2" t="n">
        <x:f>SUM('Base Case'!H11:K11)</x:f>
        <x:v>510</x:v>
      </x:c>
      <x:c r="F100" s="2" t="n">
        <x:f>SUM('Base Case'!L11:O11)</x:f>
        <x:v>570</x:v>
      </x:c>
      <x:c r="G100" s="2" t="n">
        <x:f>SUM('Base Case'!P11:S11)</x:f>
        <x:v>627</x:v>
      </x:c>
      <x:c r="H100" s="2" t="n">
        <x:f>SUM('Base Case'!T11:W11)</x:f>
        <x:v>683.4300000000001</x:v>
      </x:c>
      <x:c r="I100" s="2" t="n">
        <x:f>SUM('Base Case'!X11:AA11)</x:f>
        <x:v>738.1044</x:v>
      </x:c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A101" s="1"/>
      <x:c r="B101" s="1"/>
      <x:c r="C101" s="27" t="str">
        <x:v>Gross profit</x:v>
      </x:c>
      <x:c r="D101" s="31" t="n">
        <x:f>SUM('Base Case'!D12:G12)</x:f>
        <x:v>288</x:v>
      </x:c>
      <x:c r="E101" s="31" t="n">
        <x:f>SUM('Base Case'!H12:K12)</x:f>
        <x:v>340</x:v>
      </x:c>
      <x:c r="F101" s="31" t="n">
        <x:f>SUM('Base Case'!L12:O12)</x:f>
        <x:v>380</x:v>
      </x:c>
      <x:c r="G101" s="31" t="n">
        <x:f>SUM('Base Case'!P12:S12)</x:f>
        <x:v>418</x:v>
      </x:c>
      <x:c r="H101" s="31" t="n">
        <x:f>SUM('Base Case'!T12:W12)</x:f>
        <x:v>455.6200000000001</x:v>
      </x:c>
      <x:c r="I101" s="31" t="n">
        <x:f>SUM('Base Case'!X12:AA12)</x:f>
        <x:v>492.06960000000015</x:v>
      </x:c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A102" s="1"/>
      <x:c r="B102" s="1"/>
      <x:c r="C102" s="41" t="str">
        <x:v>Gross margin</x:v>
      </x:c>
      <x:c r="D102" s="42" t="n">
        <x:f>D101/D98</x:f>
        <x:v>0.3999999999999999</x:v>
      </x:c>
      <x:c r="E102" s="42" t="n">
        <x:f>E101/E98</x:f>
        <x:v>0.4</x:v>
      </x:c>
      <x:c r="F102" s="42" t="n">
        <x:f>F101/F98</x:f>
        <x:v>0.4</x:v>
      </x:c>
      <x:c r="G102" s="42" t="n">
        <x:f>G101/G98</x:f>
        <x:v>0.4</x:v>
      </x:c>
      <x:c r="H102" s="42" t="n">
        <x:f>H101/H98</x:f>
        <x:v>0.4</x:v>
      </x:c>
      <x:c r="I102" s="42" t="n">
        <x:f>I101/I98</x:f>
        <x:v>0.4000000000000001</x:v>
      </x:c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A103" s="1"/>
      <x:c r="B103" s="1"/>
      <x:c r="C103" s="1" t="str">
        <x:v>Operating expenses</x:v>
      </x:c>
      <x:c r="D103" s="2" t="n">
        <x:f>SUM('Base Case'!D13:G13)</x:f>
        <x:v>150</x:v>
      </x:c>
      <x:c r="E103" s="2" t="n">
        <x:f>SUM('Base Case'!H13:K13)</x:f>
        <x:v>180</x:v>
      </x:c>
      <x:c r="F103" s="2" t="n">
        <x:f>SUM('Base Case'!L13:O13)</x:f>
        <x:v>200</x:v>
      </x:c>
      <x:c r="G103" s="2" t="n">
        <x:f>SUM('Base Case'!P13:S13)</x:f>
        <x:v>220</x:v>
      </x:c>
      <x:c r="H103" s="2" t="n">
        <x:f>SUM('Base Case'!T13:W13)</x:f>
        <x:v>239.8</x:v>
      </x:c>
      <x:c r="I103" s="2" t="n">
        <x:f>SUM('Base Case'!X13:AA13)</x:f>
        <x:v>258.98400000000004</x:v>
      </x:c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A104" s="1"/>
      <x:c r="B104" s="1"/>
      <x:c r="C104" s="27" t="str">
        <x:v>Operating income</x:v>
      </x:c>
      <x:c r="D104" s="31" t="n">
        <x:f>SUM('Base Case'!D16:G16)</x:f>
        <x:v>138</x:v>
      </x:c>
      <x:c r="E104" s="31" t="n">
        <x:f>SUM('Base Case'!H16:K16)</x:f>
        <x:v>160</x:v>
      </x:c>
      <x:c r="F104" s="31" t="n">
        <x:f>SUM('Base Case'!L16:O16)</x:f>
        <x:v>179.99999999999997</x:v>
      </x:c>
      <x:c r="G104" s="31" t="n">
        <x:f>SUM('Base Case'!P16:S16)</x:f>
        <x:v>198.00000000000003</x:v>
      </x:c>
      <x:c r="H104" s="31" t="n">
        <x:f>SUM('Base Case'!T16:W16)</x:f>
        <x:v>215.8200000000001</x:v>
      </x:c>
      <x:c r="I104" s="31" t="n">
        <x:f>SUM('Base Case'!X16:AA16)</x:f>
        <x:v>233.08560000000008</x:v>
      </x:c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A105" s="1"/>
      <x:c r="B105" s="1"/>
      <x:c r="C105" s="41" t="str">
        <x:v>Operating margin</x:v>
      </x:c>
      <x:c r="D105" s="42" t="n">
        <x:f>D104/D98</x:f>
        <x:v>0.19166666666666662</x:v>
      </x:c>
      <x:c r="E105" s="42" t="n">
        <x:f>E104/E98</x:f>
        <x:v>0.18823529411764706</x:v>
      </x:c>
      <x:c r="F105" s="42" t="n">
        <x:f>F104/F98</x:f>
        <x:v>0.1894736842105263</x:v>
      </x:c>
      <x:c r="G105" s="42" t="n">
        <x:f>G104/G98</x:f>
        <x:v>0.18947368421052635</x:v>
      </x:c>
      <x:c r="H105" s="42" t="n">
        <x:f>H104/H98</x:f>
        <x:v>0.18947368421052638</x:v>
      </x:c>
      <x:c r="I105" s="42" t="n">
        <x:f>I104/I98</x:f>
        <x:v>0.18947368421052635</x:v>
      </x:c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A106" s="1"/>
      <x:c r="B106" s="1"/>
      <x:c r="C106" s="1" t="str">
        <x:v>Interest expense</x:v>
      </x:c>
      <x:c r="D106" s="2" t="n">
        <x:f>SUM('Base Case'!D17:G17)</x:f>
        <x:v>25</x:v>
      </x:c>
      <x:c r="E106" s="2" t="n">
        <x:f>SUM('Base Case'!H17:K17)</x:f>
        <x:v>22</x:v>
      </x:c>
      <x:c r="F106" s="2" t="n">
        <x:f>SUM('Base Case'!L17:O17)</x:f>
        <x:v>20</x:v>
      </x:c>
      <x:c r="G106" s="2" t="n">
        <x:f>SUM('Base Case'!P17:S17)</x:f>
        <x:v>18.30985915492958</x:v>
      </x:c>
      <x:c r="H106" s="2" t="n">
        <x:f>SUM('Base Case'!T17:W17)</x:f>
        <x:v>15.492957746478876</x:v>
      </x:c>
      <x:c r="I106" s="2" t="n">
        <x:f>SUM('Base Case'!X17:AA17)</x:f>
        <x:v>12.676056338028168</x:v>
      </x:c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A107" s="1"/>
      <x:c r="B107" s="1"/>
      <x:c r="C107" s="1" t="str">
        <x:v>Earnings before tax</x:v>
      </x:c>
      <x:c r="D107" s="2" t="n">
        <x:f>SUM('Base Case'!D18:G18)</x:f>
        <x:v>113</x:v>
      </x:c>
      <x:c r="E107" s="2" t="n">
        <x:f>SUM('Base Case'!H18:K18)</x:f>
        <x:v>138</x:v>
      </x:c>
      <x:c r="F107" s="2" t="n">
        <x:f>SUM('Base Case'!L18:O18)</x:f>
        <x:v>160</x:v>
      </x:c>
      <x:c r="G107" s="2" t="n">
        <x:f>SUM('Base Case'!P18:S18)</x:f>
        <x:v>179.69014084507046</x:v>
      </x:c>
      <x:c r="H107" s="2" t="n">
        <x:f>SUM('Base Case'!T18:W18)</x:f>
        <x:v>200.32704225352123</x:v>
      </x:c>
      <x:c r="I107" s="2" t="n">
        <x:f>SUM('Base Case'!X18:AA18)</x:f>
        <x:v>220.4095436619719</x:v>
      </x:c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A108" s="1"/>
      <x:c r="B108" s="1"/>
      <x:c r="C108" s="1" t="str">
        <x:v>Tax expense</x:v>
      </x:c>
      <x:c r="D108" s="2" t="n">
        <x:f>SUM('Base Case'!D19:G19)</x:f>
        <x:v>28</x:v>
      </x:c>
      <x:c r="E108" s="2" t="n">
        <x:f>SUM('Base Case'!H19:K19)</x:f>
        <x:v>34</x:v>
      </x:c>
      <x:c r="F108" s="2" t="n">
        <x:f>SUM('Base Case'!L19:O19)</x:f>
        <x:v>40</x:v>
      </x:c>
      <x:c r="G108" s="2" t="n">
        <x:f>SUM('Base Case'!P19:S19)</x:f>
        <x:v>44.922535211267615</x:v>
      </x:c>
      <x:c r="H108" s="2" t="n">
        <x:f>SUM('Base Case'!T19:W19)</x:f>
        <x:v>50.08176056338031</x:v>
      </x:c>
      <x:c r="I108" s="2" t="n">
        <x:f>SUM('Base Case'!X19:AA19)</x:f>
        <x:v>55.102385915492974</x:v>
      </x:c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A109" s="1"/>
      <x:c r="B109" s="1"/>
      <x:c r="C109" s="27" t="str">
        <x:v>Net income</x:v>
      </x:c>
      <x:c r="D109" s="31" t="n">
        <x:f>SUM('Base Case'!D20:G20)</x:f>
        <x:v>85</x:v>
      </x:c>
      <x:c r="E109" s="31" t="n">
        <x:f>SUM('Base Case'!H20:K20)</x:f>
        <x:v>104</x:v>
      </x:c>
      <x:c r="F109" s="31" t="n">
        <x:f>SUM('Base Case'!L20:O20)</x:f>
        <x:v>120</x:v>
      </x:c>
      <x:c r="G109" s="31" t="n">
        <x:f>SUM('Base Case'!P20:S20)</x:f>
        <x:v>134.76760563380284</x:v>
      </x:c>
      <x:c r="H109" s="31" t="n">
        <x:f>SUM('Base Case'!T20:W20)</x:f>
        <x:v>150.2452816901409</x:v>
      </x:c>
      <x:c r="I109" s="31" t="n">
        <x:f>SUM('Base Case'!X20:AA20)</x:f>
        <x:v>165.30715774647894</x:v>
      </x:c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A110" s="1"/>
      <x:c r="B110" s="1"/>
      <x:c r="C110" s="41" t="str">
        <x:v>Net margin</x:v>
      </x:c>
      <x:c r="D110" s="42" t="n">
        <x:f>D109/D98</x:f>
        <x:v>0.11805555555555554</x:v>
      </x:c>
      <x:c r="E110" s="42" t="n">
        <x:f>E109/E98</x:f>
        <x:v>0.1223529411764706</x:v>
      </x:c>
      <x:c r="F110" s="42" t="n">
        <x:f>F109/F98</x:f>
        <x:v>0.12631578947368421</x:v>
      </x:c>
      <x:c r="G110" s="42" t="n">
        <x:f>G109/G98</x:f>
        <x:v>0.1289642159175147</x:v>
      </x:c>
      <x:c r="H110" s="42" t="n">
        <x:f>H109/H98</x:f>
        <x:v>0.1319040267680443</x:v>
      </x:c>
      <x:c r="I110" s="42" t="n">
        <x:f>I109/I98</x:f>
        <x:v>0.1343770537716444</x:v>
      </x:c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 ht="21" customHeight="1">
      <x:c r="A112" s="1"/>
      <x:c r="B112" s="1"/>
      <x:c r="C112" s="15" t="str">
        <x:v>Balance sheet at year-end</x:v>
      </x:c>
      <x:c r="D112" s="16"/>
      <x:c r="E112" s="16"/>
      <x:c r="F112" s="16"/>
      <x:c r="G112" s="16"/>
      <x:c r="H112" s="16"/>
      <x:c r="I112" s="16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 ht="21" customHeight="1">
      <x:c r="A113" s="1"/>
      <x:c r="B113" s="1"/>
      <x:c r="C113" s="1" t="str">
        <x:v>Cash</x:v>
      </x:c>
      <x:c r="D113" s="2" t="n">
        <x:f>'Base Case'!G23</x:f>
        <x:v>59.8</x:v>
      </x:c>
      <x:c r="E113" s="2" t="n">
        <x:f>'Base Case'!K23</x:f>
        <x:v>130.8</x:v>
      </x:c>
      <x:c r="F113" s="2" t="n">
        <x:f>'Base Case'!O23</x:f>
        <x:v>210.8</x:v>
      </x:c>
      <x:c r="G113" s="2" t="n">
        <x:f>'Base Case'!S23</x:f>
        <x:v>226.84540038688928</x:v>
      </x:c>
      <x:c r="H113" s="2" t="n">
        <x:f>'Base Case'!W23</x:f>
        <x:v>265.78039193814124</x:v>
      </x:c>
      <x:c r="I113" s="2" t="n">
        <x:f>'Base Case'!AA23</x:f>
        <x:v>323.21940547042266</x:v>
      </x:c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 ht="21" customHeight="1">
      <x:c r="A114" s="1"/>
      <x:c r="B114" s="1"/>
      <x:c r="C114" s="1" t="str">
        <x:v>Accounts receivable</x:v>
      </x:c>
      <x:c r="D114" s="2" t="n">
        <x:f>'Base Case'!G24</x:f>
        <x:v>110</x:v>
      </x:c>
      <x:c r="E114" s="2" t="n">
        <x:f>'Base Case'!K24</x:f>
        <x:v>130</x:v>
      </x:c>
      <x:c r="F114" s="2" t="n">
        <x:f>'Base Case'!O24</x:f>
        <x:v>150</x:v>
      </x:c>
      <x:c r="G114" s="2" t="n">
        <x:f>'Base Case'!S24</x:f>
        <x:v>169.07407407407405</x:v>
      </x:c>
      <x:c r="H114" s="2" t="n">
        <x:f>'Base Case'!W24</x:f>
        <x:v>184.29074074074074</x:v>
      </x:c>
      <x:c r="I114" s="2" t="n">
        <x:f>'Base Case'!AA24</x:f>
        <x:v>199.03400000000002</x:v>
      </x:c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 ht="21" customHeight="1">
      <x:c r="A115" s="1"/>
      <x:c r="B115" s="1"/>
      <x:c r="C115" s="1" t="str">
        <x:v>Inventory</x:v>
      </x:c>
      <x:c r="D115" s="2" t="n">
        <x:f>'Base Case'!G25</x:f>
        <x:v>150</x:v>
      </x:c>
      <x:c r="E115" s="2" t="n">
        <x:f>'Base Case'!K25</x:f>
        <x:v>180</x:v>
      </x:c>
      <x:c r="F115" s="2" t="n">
        <x:f>'Base Case'!O25</x:f>
        <x:v>200</x:v>
      </x:c>
      <x:c r="G115" s="2" t="n">
        <x:f>'Base Case'!S25</x:f>
        <x:v>225.4320987654321</x:v>
      </x:c>
      <x:c r="H115" s="2" t="n">
        <x:f>'Base Case'!W25</x:f>
        <x:v>245.720987654321</x:v>
      </x:c>
      <x:c r="I115" s="2" t="n">
        <x:f>'Base Case'!AA25</x:f>
        <x:v>265.3786666666667</x:v>
      </x:c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 ht="21" customHeight="1">
      <x:c r="A116" s="1"/>
      <x:c r="B116" s="1"/>
      <x:c r="C116" s="27" t="str">
        <x:v>Total current assets</x:v>
      </x:c>
      <x:c r="D116" s="31" t="n">
        <x:f>'Base Case'!G26</x:f>
        <x:v>319.8</x:v>
      </x:c>
      <x:c r="E116" s="31" t="n">
        <x:f>'Base Case'!K26</x:f>
        <x:v>440.8</x:v>
      </x:c>
      <x:c r="F116" s="31" t="n">
        <x:f>'Base Case'!O26</x:f>
        <x:v>560.8</x:v>
      </x:c>
      <x:c r="G116" s="31" t="n">
        <x:f>'Base Case'!S26</x:f>
        <x:v>621.3515732263954</x:v>
      </x:c>
      <x:c r="H116" s="31" t="n">
        <x:f>'Base Case'!W26</x:f>
        <x:v>695.792120333203</x:v>
      </x:c>
      <x:c r="I116" s="31" t="n">
        <x:f>'Base Case'!AA26</x:f>
        <x:v>787.6320721370894</x:v>
      </x:c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 ht="21" customHeight="1">
      <x:c r="A117" s="1"/>
      <x:c r="B117" s="1"/>
      <x:c r="C117" s="1" t="str">
        <x:v>Net property, plant and equipment</x:v>
      </x:c>
      <x:c r="D117" s="2" t="n">
        <x:f>'Base Case'!G27</x:f>
        <x:v>500</x:v>
      </x:c>
      <x:c r="E117" s="2" t="n">
        <x:f>'Base Case'!K27</x:f>
        <x:v>550</x:v>
      </x:c>
      <x:c r="F117" s="2" t="n">
        <x:f>'Base Case'!O27</x:f>
        <x:v>600</x:v>
      </x:c>
      <x:c r="G117" s="2" t="n">
        <x:f>'Base Case'!S27</x:f>
        <x:v>639.4752916666666</x:v>
      </x:c>
      <x:c r="H117" s="2" t="n">
        <x:f>'Base Case'!W27</x:f>
        <x:v>677.4533595833335</x:v>
      </x:c>
      <x:c r="I117" s="2" t="n">
        <x:f>'Base Case'!AA27</x:f>
        <x:v>712.7151729333335</x:v>
      </x:c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 ht="21" customHeight="1">
      <x:c r="A118" s="1"/>
      <x:c r="B118" s="1"/>
      <x:c r="C118" s="27" t="str">
        <x:v>Total assets</x:v>
      </x:c>
      <x:c r="D118" s="31" t="n">
        <x:f>'Base Case'!G28</x:f>
        <x:v>819.8</x:v>
      </x:c>
      <x:c r="E118" s="31" t="n">
        <x:f>'Base Case'!K28</x:f>
        <x:v>990.8</x:v>
      </x:c>
      <x:c r="F118" s="31" t="n">
        <x:f>'Base Case'!O28</x:f>
        <x:v>1160.8</x:v>
      </x:c>
      <x:c r="G118" s="31" t="n">
        <x:f>'Base Case'!S28</x:f>
        <x:v>1260.826864893062</x:v>
      </x:c>
      <x:c r="H118" s="31" t="n">
        <x:f>'Base Case'!W28</x:f>
        <x:v>1373.2454799165366</x:v>
      </x:c>
      <x:c r="I118" s="31" t="n">
        <x:f>'Base Case'!AA28</x:f>
        <x:v>1500.347245070423</x:v>
      </x:c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 ht="21" customHeight="1">
      <x:c r="A120" s="1"/>
      <x:c r="B120" s="1"/>
      <x:c r="C120" s="1" t="str">
        <x:v>Accounts payable</x:v>
      </x:c>
      <x:c r="D120" s="2" t="n">
        <x:f>'Base Case'!G30</x:f>
        <x:v>80</x:v>
      </x:c>
      <x:c r="E120" s="2" t="n">
        <x:f>'Base Case'!K30</x:f>
        <x:v>100</x:v>
      </x:c>
      <x:c r="F120" s="2" t="n">
        <x:f>'Base Case'!O30</x:f>
        <x:v>120</x:v>
      </x:c>
      <x:c r="G120" s="2" t="n">
        <x:f>'Base Case'!S30</x:f>
        <x:v>135.25925925925924</x:v>
      </x:c>
      <x:c r="H120" s="2" t="n">
        <x:f>'Base Case'!W30</x:f>
        <x:v>147.43259259259258</x:v>
      </x:c>
      <x:c r="I120" s="2" t="n">
        <x:f>'Base Case'!AA30</x:f>
        <x:v>159.2272</x:v>
      </x:c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 ht="21" customHeight="1">
      <x:c r="A121" s="1"/>
      <x:c r="B121" s="1"/>
      <x:c r="C121" s="1" t="str">
        <x:v>Current portion of debt</x:v>
      </x:c>
      <x:c r="D121" s="2" t="n">
        <x:f>'Base Case'!G31</x:f>
        <x:v>30</x:v>
      </x:c>
      <x:c r="E121" s="2" t="n">
        <x:f>'Base Case'!K31</x:f>
        <x:v>40</x:v>
      </x:c>
      <x:c r="F121" s="2" t="n">
        <x:f>'Base Case'!O31</x:f>
        <x:v>50</x:v>
      </x:c>
      <x:c r="G121" s="2" t="n">
        <x:f>'Base Case'!S31</x:f>
        <x:v>50</x:v>
      </x:c>
      <x:c r="H121" s="2" t="n">
        <x:f>'Base Case'!W31</x:f>
        <x:v>50</x:v>
      </x:c>
      <x:c r="I121" s="2" t="n">
        <x:f>'Base Case'!AA31</x:f>
        <x:v>50</x:v>
      </x:c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 ht="21" customHeight="1">
      <x:c r="A122" s="1"/>
      <x:c r="B122" s="1"/>
      <x:c r="C122" s="1" t="str">
        <x:v>Total current liabilities</x:v>
      </x:c>
      <x:c r="D122" s="2" t="n">
        <x:f>'Base Case'!G32</x:f>
        <x:v>110</x:v>
      </x:c>
      <x:c r="E122" s="2" t="n">
        <x:f>'Base Case'!K32</x:f>
        <x:v>140</x:v>
      </x:c>
      <x:c r="F122" s="2" t="n">
        <x:f>'Base Case'!O32</x:f>
        <x:v>170</x:v>
      </x:c>
      <x:c r="G122" s="2" t="n">
        <x:f>'Base Case'!S32</x:f>
        <x:v>185.25925925925924</x:v>
      </x:c>
      <x:c r="H122" s="2" t="n">
        <x:f>'Base Case'!W32</x:f>
        <x:v>197.43259259259258</x:v>
      </x:c>
      <x:c r="I122" s="2" t="n">
        <x:f>'Base Case'!AA32</x:f>
        <x:v>209.2272</x:v>
      </x:c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 ht="21" customHeight="1">
      <x:c r="A123" s="1"/>
      <x:c r="B123" s="1"/>
      <x:c r="C123" s="1" t="str">
        <x:v>Long-term debt</x:v>
      </x:c>
      <x:c r="D123" s="2" t="n">
        <x:f>'Base Case'!G33</x:f>
        <x:v>350</x:v>
      </x:c>
      <x:c r="E123" s="2" t="n">
        <x:f>'Base Case'!K33</x:f>
        <x:v>320</x:v>
      </x:c>
      <x:c r="F123" s="2" t="n">
        <x:f>'Base Case'!O33</x:f>
        <x:v>300</x:v>
      </x:c>
      <x:c r="G123" s="2" t="n">
        <x:f>'Base Case'!S33</x:f>
        <x:v>250</x:v>
      </x:c>
      <x:c r="H123" s="2" t="n">
        <x:f>'Base Case'!W33</x:f>
        <x:v>200</x:v>
      </x:c>
      <x:c r="I123" s="2" t="n">
        <x:f>'Base Case'!AA33</x:f>
        <x:v>150</x:v>
      </x:c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 ht="21" customHeight="1">
      <x:c r="A124" s="1"/>
      <x:c r="B124" s="1"/>
      <x:c r="C124" s="27" t="str">
        <x:v>Total liabilities</x:v>
      </x:c>
      <x:c r="D124" s="31" t="n">
        <x:f>'Base Case'!G34</x:f>
        <x:v>460</x:v>
      </x:c>
      <x:c r="E124" s="31" t="n">
        <x:f>'Base Case'!K34</x:f>
        <x:v>460</x:v>
      </x:c>
      <x:c r="F124" s="31" t="n">
        <x:f>'Base Case'!O34</x:f>
        <x:v>470</x:v>
      </x:c>
      <x:c r="G124" s="31" t="n">
        <x:f>'Base Case'!S34</x:f>
        <x:v>435.25925925925924</x:v>
      </x:c>
      <x:c r="H124" s="31" t="n">
        <x:f>'Base Case'!W34</x:f>
        <x:v>397.4325925925926</x:v>
      </x:c>
      <x:c r="I124" s="31" t="n">
        <x:f>'Base Case'!AA34</x:f>
        <x:v>359.22720000000004</x:v>
      </x:c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 ht="21" customHeight="1">
      <x:c r="A125" s="1"/>
      <x:c r="B125" s="1"/>
      <x:c r="C125" s="1" t="str">
        <x:v>Common stock</x:v>
      </x:c>
      <x:c r="D125" s="2" t="n">
        <x:f>'Base Case'!G35</x:f>
        <x:v>158</x:v>
      </x:c>
      <x:c r="E125" s="2" t="n">
        <x:f>'Base Case'!K35</x:f>
        <x:v>225</x:v>
      </x:c>
      <x:c r="F125" s="2" t="n">
        <x:f>'Base Case'!O35</x:f>
        <x:v>265</x:v>
      </x:c>
      <x:c r="G125" s="2" t="n">
        <x:f>'Base Case'!S35</x:f>
        <x:v>265</x:v>
      </x:c>
      <x:c r="H125" s="2" t="n">
        <x:f>'Base Case'!W35</x:f>
        <x:v>265</x:v>
      </x:c>
      <x:c r="I125" s="2" t="n">
        <x:f>'Base Case'!AA35</x:f>
        <x:v>265</x:v>
      </x:c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 ht="21" customHeight="1">
      <x:c r="A126" s="1"/>
      <x:c r="B126" s="1"/>
      <x:c r="C126" s="1" t="str">
        <x:v>Retained earnings</x:v>
      </x:c>
      <x:c r="D126" s="2" t="n">
        <x:f>'Base Case'!G36</x:f>
        <x:v>202</x:v>
      </x:c>
      <x:c r="E126" s="2" t="n">
        <x:f>'Base Case'!K36</x:f>
        <x:v>306</x:v>
      </x:c>
      <x:c r="F126" s="2" t="n">
        <x:f>'Base Case'!O36</x:f>
        <x:v>426</x:v>
      </x:c>
      <x:c r="G126" s="2" t="n">
        <x:f>'Base Case'!S36</x:f>
        <x:v>560.7676056338029</x:v>
      </x:c>
      <x:c r="H126" s="2" t="n">
        <x:f>'Base Case'!W36</x:f>
        <x:v>711.0128873239438</x:v>
      </x:c>
      <x:c r="I126" s="2" t="n">
        <x:f>'Base Case'!AA36</x:f>
        <x:v>876.3200450704228</x:v>
      </x:c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 ht="21" customHeight="1">
      <x:c r="A127" s="1"/>
      <x:c r="B127" s="1"/>
      <x:c r="C127" s="1" t="str">
        <x:v>Unresolved opening equity difference</x:v>
      </x:c>
      <x:c r="D127" s="2" t="n">
        <x:f>'Base Case'!G37</x:f>
        <x:v>-0.2</x:v>
      </x:c>
      <x:c r="E127" s="2" t="n">
        <x:f>'Base Case'!K37</x:f>
        <x:v>-0.2</x:v>
      </x:c>
      <x:c r="F127" s="2" t="n">
        <x:f>'Base Case'!O37</x:f>
        <x:v>-0.2</x:v>
      </x:c>
      <x:c r="G127" s="2" t="n">
        <x:f>'Base Case'!S37</x:f>
        <x:v>-0.2</x:v>
      </x:c>
      <x:c r="H127" s="2" t="n">
        <x:f>'Base Case'!W37</x:f>
        <x:v>-0.2</x:v>
      </x:c>
      <x:c r="I127" s="2" t="n">
        <x:f>'Base Case'!AA37</x:f>
        <x:v>-0.2</x:v>
      </x:c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 ht="21" customHeight="1">
      <x:c r="A128" s="1"/>
      <x:c r="B128" s="1"/>
      <x:c r="C128" s="27" t="str">
        <x:v>Total liabilities and equity</x:v>
      </x:c>
      <x:c r="D128" s="31" t="n">
        <x:f>'Base Case'!G38</x:f>
        <x:v>819.8</x:v>
      </x:c>
      <x:c r="E128" s="31" t="n">
        <x:f>'Base Case'!K38</x:f>
        <x:v>990.8</x:v>
      </x:c>
      <x:c r="F128" s="31" t="n">
        <x:f>'Base Case'!O38</x:f>
        <x:v>1160.8</x:v>
      </x:c>
      <x:c r="G128" s="31" t="n">
        <x:f>'Base Case'!S38</x:f>
        <x:v>1260.826864893062</x:v>
      </x:c>
      <x:c r="H128" s="31" t="n">
        <x:f>'Base Case'!W38</x:f>
        <x:v>1373.2454799165364</x:v>
      </x:c>
      <x:c r="I128" s="31" t="n">
        <x:f>'Base Case'!AA38</x:f>
        <x:v>1500.3472450704228</x:v>
      </x:c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 ht="21" customHeight="1">
      <x:c r="A130" s="1"/>
      <x:c r="B130" s="1"/>
      <x:c r="C130" s="15" t="str">
        <x:v>Cash flow statement</x:v>
      </x:c>
      <x:c r="D130" s="16"/>
      <x:c r="E130" s="16"/>
      <x:c r="F130" s="16"/>
      <x:c r="G130" s="16"/>
      <x:c r="H130" s="16"/>
      <x:c r="I130" s="16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 ht="21" customHeight="1">
      <x:c r="A131" s="1"/>
      <x:c r="B131" s="1"/>
      <x:c r="C131" s="1" t="str">
        <x:v>Net income</x:v>
      </x:c>
      <x:c r="D131" s="2" t="n">
        <x:f>SUM('Base Case'!D41:G41)</x:f>
        <x:v>85</x:v>
      </x:c>
      <x:c r="E131" s="2" t="n">
        <x:f>SUM('Base Case'!H41:K41)</x:f>
        <x:v>104</x:v>
      </x:c>
      <x:c r="F131" s="2" t="n">
        <x:f>SUM('Base Case'!L41:O41)</x:f>
        <x:v>120</x:v>
      </x:c>
      <x:c r="G131" s="2" t="n">
        <x:f>SUM('Base Case'!P41:S41)</x:f>
        <x:v>134.76760563380284</x:v>
      </x:c>
      <x:c r="H131" s="2" t="n">
        <x:f>SUM('Base Case'!T41:W41)</x:f>
        <x:v>150.2452816901409</x:v>
      </x:c>
      <x:c r="I131" s="2" t="n">
        <x:f>SUM('Base Case'!X41:AA41)</x:f>
        <x:v>165.30715774647894</x:v>
      </x:c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 ht="21" customHeight="1">
      <x:c r="A132" s="1"/>
      <x:c r="B132" s="1"/>
      <x:c r="C132" s="1" t="str">
        <x:v>Reported / modelled noncash add-back</x:v>
      </x:c>
      <x:c r="D132" s="2" t="n">
        <x:f>SUM('Base Case'!D42:G42)</x:f>
        <x:v>0</x:v>
      </x:c>
      <x:c r="E132" s="2" t="n">
        <x:f>SUM('Base Case'!H42:K42)</x:f>
        <x:v>0</x:v>
      </x:c>
      <x:c r="F132" s="2" t="n">
        <x:f>SUM('Base Case'!L42:O42)</x:f>
        <x:v>0</x:v>
      </x:c>
      <x:c r="G132" s="2" t="n">
        <x:f>SUM('Base Case'!P42:S42)</x:f>
        <x:v>65.02470833333334</x:v>
      </x:c>
      <x:c r="H132" s="2" t="n">
        <x:f>SUM('Base Case'!T42:W42)</x:f>
        <x:v>75.92693208333334</x:v>
      </x:c>
      <x:c r="I132" s="2" t="n">
        <x:f>SUM('Base Case'!X42:AA42)</x:f>
        <x:v>87.75558665000001</x:v>
      </x:c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 ht="21" customHeight="1">
      <x:c r="A133" s="1"/>
      <x:c r="B133" s="1"/>
      <x:c r="C133" s="1" t="str">
        <x:v>Cash effect of receivables</x:v>
      </x:c>
      <x:c r="D133" s="2" t="n">
        <x:f>SUM('Base Case'!D43:G43)</x:f>
        <x:v>-18</x:v>
      </x:c>
      <x:c r="E133" s="2" t="n">
        <x:f>SUM('Base Case'!H43:K43)</x:f>
        <x:v>-20</x:v>
      </x:c>
      <x:c r="F133" s="2" t="n">
        <x:f>SUM('Base Case'!L43:O43)</x:f>
        <x:v>-20</x:v>
      </x:c>
      <x:c r="G133" s="2" t="n">
        <x:f>SUM('Base Case'!P43:S43)</x:f>
        <x:v>-19.074074074074048</x:v>
      </x:c>
      <x:c r="H133" s="2" t="n">
        <x:f>SUM('Base Case'!T43:W43)</x:f>
        <x:v>-15.216666666666697</x:v>
      </x:c>
      <x:c r="I133" s="2" t="n">
        <x:f>SUM('Base Case'!X43:AA43)</x:f>
        <x:v>-14.743259259259275</x:v>
      </x:c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 ht="21" customHeight="1">
      <x:c r="A134" s="1"/>
      <x:c r="B134" s="1"/>
      <x:c r="C134" s="1" t="str">
        <x:v>Cash effect of inventory</x:v>
      </x:c>
      <x:c r="D134" s="2" t="n">
        <x:f>SUM('Base Case'!D44:G44)</x:f>
        <x:v>-30</x:v>
      </x:c>
      <x:c r="E134" s="2" t="n">
        <x:f>SUM('Base Case'!H44:K44)</x:f>
        <x:v>-30</x:v>
      </x:c>
      <x:c r="F134" s="2" t="n">
        <x:f>SUM('Base Case'!L44:O44)</x:f>
        <x:v>-20</x:v>
      </x:c>
      <x:c r="G134" s="2" t="n">
        <x:f>SUM('Base Case'!P44:S44)</x:f>
        <x:v>-25.4320987654321</x:v>
      </x:c>
      <x:c r="H134" s="2" t="n">
        <x:f>SUM('Base Case'!T44:W44)</x:f>
        <x:v>-20.28888888888889</x:v>
      </x:c>
      <x:c r="I134" s="2" t="n">
        <x:f>SUM('Base Case'!X44:AA44)</x:f>
        <x:v>-19.65767901234568</x:v>
      </x:c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 ht="21" customHeight="1">
      <x:c r="A135" s="1"/>
      <x:c r="B135" s="1"/>
      <x:c r="C135" s="1" t="str">
        <x:v>Cash effect of payables</x:v>
      </x:c>
      <x:c r="D135" s="2" t="n">
        <x:f>SUM('Base Case'!D45:G45)</x:f>
        <x:v>28.000000000000004</x:v>
      </x:c>
      <x:c r="E135" s="2" t="n">
        <x:f>SUM('Base Case'!H45:K45)</x:f>
        <x:v>20</x:v>
      </x:c>
      <x:c r="F135" s="2" t="n">
        <x:f>SUM('Base Case'!L45:O45)</x:f>
        <x:v>20</x:v>
      </x:c>
      <x:c r="G135" s="2" t="n">
        <x:f>SUM('Base Case'!P45:S45)</x:f>
        <x:v>15.259259259259238</x:v>
      </x:c>
      <x:c r="H135" s="2" t="n">
        <x:f>SUM('Base Case'!T45:W45)</x:f>
        <x:v>12.173333333333346</x:v>
      </x:c>
      <x:c r="I135" s="2" t="n">
        <x:f>SUM('Base Case'!X45:AA45)</x:f>
        <x:v>11.794607407407426</x:v>
      </x:c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 ht="21" customHeight="1">
      <x:c r="A136" s="1"/>
      <x:c r="B136" s="1"/>
      <x:c r="C136" s="27" t="str">
        <x:v>Cash from operations</x:v>
      </x:c>
      <x:c r="D136" s="31" t="n">
        <x:f>SUM('Base Case'!D46:G46)</x:f>
        <x:v>65</x:v>
      </x:c>
      <x:c r="E136" s="31" t="n">
        <x:f>SUM('Base Case'!H46:K46)</x:f>
        <x:v>74</x:v>
      </x:c>
      <x:c r="F136" s="31" t="n">
        <x:f>SUM('Base Case'!L46:O46)</x:f>
        <x:v>99.99999999999999</x:v>
      </x:c>
      <x:c r="G136" s="31" t="n">
        <x:f>SUM('Base Case'!P46:S46)</x:f>
        <x:v>170.5454003868893</x:v>
      </x:c>
      <x:c r="H136" s="31" t="n">
        <x:f>SUM('Base Case'!T46:W46)</x:f>
        <x:v>202.839991551252</x:v>
      </x:c>
      <x:c r="I136" s="31" t="n">
        <x:f>SUM('Base Case'!X46:AA46)</x:f>
        <x:v>230.45641353228143</x:v>
      </x:c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 ht="21" customHeight="1">
      <x:c r="A137" s="1"/>
      <x:c r="B137" s="1"/>
      <x:c r="C137" s="1" t="str">
        <x:v>Net PP&amp;E investing cash flow</x:v>
      </x:c>
      <x:c r="D137" s="2" t="n">
        <x:f>SUM('Base Case'!D47:G47)</x:f>
        <x:v>-80</x:v>
      </x:c>
      <x:c r="E137" s="2" t="n">
        <x:f>SUM('Base Case'!H47:K47)</x:f>
        <x:v>-50</x:v>
      </x:c>
      <x:c r="F137" s="2" t="n">
        <x:f>SUM('Base Case'!L47:O47)</x:f>
        <x:v>-50</x:v>
      </x:c>
      <x:c r="G137" s="2" t="n">
        <x:f>SUM('Base Case'!P47:S47)</x:f>
        <x:v>-104.5</x:v>
      </x:c>
      <x:c r="H137" s="2" t="n">
        <x:f>SUM('Base Case'!T47:W47)</x:f>
        <x:v>-113.90500000000002</x:v>
      </x:c>
      <x:c r="I137" s="2" t="n">
        <x:f>SUM('Base Case'!X47:AA47)</x:f>
        <x:v>-123.01740000000001</x:v>
      </x:c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 ht="21" customHeight="1">
      <x:c r="A138" s="1"/>
      <x:c r="B138" s="1"/>
      <x:c r="C138" s="27" t="str">
        <x:v>Cash from investing</x:v>
      </x:c>
      <x:c r="D138" s="31" t="n">
        <x:f>SUM('Base Case'!D48:G48)</x:f>
        <x:v>-80</x:v>
      </x:c>
      <x:c r="E138" s="31" t="n">
        <x:f>SUM('Base Case'!H48:K48)</x:f>
        <x:v>-50</x:v>
      </x:c>
      <x:c r="F138" s="31" t="n">
        <x:f>SUM('Base Case'!L48:O48)</x:f>
        <x:v>-50</x:v>
      </x:c>
      <x:c r="G138" s="31" t="n">
        <x:f>SUM('Base Case'!P48:S48)</x:f>
        <x:v>-104.5</x:v>
      </x:c>
      <x:c r="H138" s="31" t="n">
        <x:f>SUM('Base Case'!T48:W48)</x:f>
        <x:v>-113.90500000000002</x:v>
      </x:c>
      <x:c r="I138" s="31" t="n">
        <x:f>SUM('Base Case'!X48:AA48)</x:f>
        <x:v>-123.01740000000001</x:v>
      </x:c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 ht="21" customHeight="1">
      <x:c r="A139" s="1"/>
      <x:c r="B139" s="1"/>
      <x:c r="C139" s="1" t="str">
        <x:v>Net cash borrowing / repayment</x:v>
      </x:c>
      <x:c r="D139" s="2" t="n">
        <x:f>SUM('Base Case'!D49:G49)</x:f>
        <x:v>-5</x:v>
      </x:c>
      <x:c r="E139" s="2" t="n">
        <x:f>SUM('Base Case'!H49:K49)</x:f>
        <x:v>-20</x:v>
      </x:c>
      <x:c r="F139" s="2" t="n">
        <x:f>SUM('Base Case'!L49:O49)</x:f>
        <x:v>-10</x:v>
      </x:c>
      <x:c r="G139" s="2" t="n">
        <x:f>SUM('Base Case'!P49:S49)</x:f>
        <x:v>-50</x:v>
      </x:c>
      <x:c r="H139" s="2" t="n">
        <x:f>SUM('Base Case'!T49:W49)</x:f>
        <x:v>-50</x:v>
      </x:c>
      <x:c r="I139" s="2" t="n">
        <x:f>SUM('Base Case'!X49:AA49)</x:f>
        <x:v>-50</x:v>
      </x:c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 ht="21" customHeight="1">
      <x:c r="A140" s="1"/>
      <x:c r="B140" s="1"/>
      <x:c r="C140" s="1" t="str">
        <x:v>Net cash equity financing</x:v>
      </x:c>
      <x:c r="D140" s="2" t="n">
        <x:f>SUM('Base Case'!D50:G50)</x:f>
        <x:v>58</x:v>
      </x:c>
      <x:c r="E140" s="2" t="n">
        <x:f>SUM('Base Case'!H50:K50)</x:f>
        <x:v>67</x:v>
      </x:c>
      <x:c r="F140" s="2" t="n">
        <x:f>SUM('Base Case'!L50:O50)</x:f>
        <x:v>40</x:v>
      </x:c>
      <x:c r="G140" s="2" t="n">
        <x:f>SUM('Base Case'!P50:S50)</x:f>
        <x:v>0</x:v>
      </x:c>
      <x:c r="H140" s="2" t="n">
        <x:f>SUM('Base Case'!T50:W50)</x:f>
        <x:v>0</x:v>
      </x:c>
      <x:c r="I140" s="2" t="n">
        <x:f>SUM('Base Case'!X50:AA50)</x:f>
        <x:v>0</x:v>
      </x:c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 ht="21" customHeight="1">
      <x:c r="A141" s="1"/>
      <x:c r="B141" s="1"/>
      <x:c r="C141" s="1" t="str">
        <x:v>Cash dividends paid</x:v>
      </x:c>
      <x:c r="D141" s="2" t="n">
        <x:f>SUM('Base Case'!D51:G51)</x:f>
        <x:v>0</x:v>
      </x:c>
      <x:c r="E141" s="2" t="n">
        <x:f>SUM('Base Case'!H51:K51)</x:f>
        <x:v>0</x:v>
      </x:c>
      <x:c r="F141" s="2" t="n">
        <x:f>SUM('Base Case'!L51:O51)</x:f>
        <x:v>0</x:v>
      </x:c>
      <x:c r="G141" s="2" t="n">
        <x:f>SUM('Base Case'!P51:S51)</x:f>
        <x:v>0</x:v>
      </x:c>
      <x:c r="H141" s="2" t="n">
        <x:f>SUM('Base Case'!T51:W51)</x:f>
        <x:v>0</x:v>
      </x:c>
      <x:c r="I141" s="2" t="n">
        <x:f>SUM('Base Case'!X51:AA51)</x:f>
        <x:v>0</x:v>
      </x:c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 ht="21" customHeight="1">
      <x:c r="A142" s="1"/>
      <x:c r="B142" s="1"/>
      <x:c r="C142" s="27" t="str">
        <x:v>Cash from financing</x:v>
      </x:c>
      <x:c r="D142" s="31" t="n">
        <x:f>SUM('Base Case'!D52:G52)</x:f>
        <x:v>53</x:v>
      </x:c>
      <x:c r="E142" s="31" t="n">
        <x:f>SUM('Base Case'!H52:K52)</x:f>
        <x:v>47</x:v>
      </x:c>
      <x:c r="F142" s="31" t="n">
        <x:f>SUM('Base Case'!L52:O52)</x:f>
        <x:v>30</x:v>
      </x:c>
      <x:c r="G142" s="31" t="n">
        <x:f>SUM('Base Case'!P52:S52)</x:f>
        <x:v>-50</x:v>
      </x:c>
      <x:c r="H142" s="31" t="n">
        <x:f>SUM('Base Case'!T52:W52)</x:f>
        <x:v>-50</x:v>
      </x:c>
      <x:c r="I142" s="31" t="n">
        <x:f>SUM('Base Case'!X52:AA52)</x:f>
        <x:v>-50</x:v>
      </x:c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 ht="21" customHeight="1">
      <x:c r="A143" s="1"/>
      <x:c r="B143" s="1"/>
      <x:c r="C143" s="27" t="str">
        <x:v>Change in cash</x:v>
      </x:c>
      <x:c r="D143" s="31" t="n">
        <x:f>SUM('Base Case'!D53:G53)</x:f>
        <x:v>38</x:v>
      </x:c>
      <x:c r="E143" s="31" t="n">
        <x:f>SUM('Base Case'!H53:K53)</x:f>
        <x:v>70.99999999999999</x:v>
      </x:c>
      <x:c r="F143" s="31" t="n">
        <x:f>SUM('Base Case'!L53:O53)</x:f>
        <x:v>80</x:v>
      </x:c>
      <x:c r="G143" s="31" t="n">
        <x:f>SUM('Base Case'!P53:S53)</x:f>
        <x:v>16.045400386889277</x:v>
      </x:c>
      <x:c r="H143" s="31" t="n">
        <x:f>SUM('Base Case'!T53:W53)</x:f>
        <x:v>38.93499155125197</x:v>
      </x:c>
      <x:c r="I143" s="31" t="n">
        <x:f>SUM('Base Case'!X53:AA53)</x:f>
        <x:v>57.4390135322814</x:v>
      </x:c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 ht="21" customHeight="1">
      <x:c r="A144" s="1"/>
      <x:c r="B144" s="1"/>
      <x:c r="C144" s="1" t="str">
        <x:v>Opening cash</x:v>
      </x:c>
      <x:c r="D144" s="2" t="n">
        <x:f>'Base Case'!D54</x:f>
        <x:v>21.8</x:v>
      </x:c>
      <x:c r="E144" s="2" t="n">
        <x:f>'Base Case'!H54</x:f>
        <x:v>59.8</x:v>
      </x:c>
      <x:c r="F144" s="2" t="n">
        <x:f>'Base Case'!L54</x:f>
        <x:v>130.8</x:v>
      </x:c>
      <x:c r="G144" s="2" t="n">
        <x:f>'Base Case'!P54</x:f>
        <x:v>210.8</x:v>
      </x:c>
      <x:c r="H144" s="2" t="n">
        <x:f>'Base Case'!T54</x:f>
        <x:v>226.84540038688928</x:v>
      </x:c>
      <x:c r="I144" s="2" t="n">
        <x:f>'Base Case'!X54</x:f>
        <x:v>265.78039193814124</x:v>
      </x:c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 ht="21" customHeight="1">
      <x:c r="A145" s="1"/>
      <x:c r="B145" s="1"/>
      <x:c r="C145" s="27" t="str">
        <x:v>Closing cash</x:v>
      </x:c>
      <x:c r="D145" s="31" t="n">
        <x:f>'Base Case'!G55</x:f>
        <x:v>59.8</x:v>
      </x:c>
      <x:c r="E145" s="31" t="n">
        <x:f>'Base Case'!K55</x:f>
        <x:v>130.8</x:v>
      </x:c>
      <x:c r="F145" s="31" t="n">
        <x:f>'Base Case'!O55</x:f>
        <x:v>210.8</x:v>
      </x:c>
      <x:c r="G145" s="31" t="n">
        <x:f>'Base Case'!S55</x:f>
        <x:v>226.84540038688928</x:v>
      </x:c>
      <x:c r="H145" s="31" t="n">
        <x:f>'Base Case'!W55</x:f>
        <x:v>265.78039193814124</x:v>
      </x:c>
      <x:c r="I145" s="31" t="n">
        <x:f>'Base Case'!AA55</x:f>
        <x:v>323.21940547042266</x:v>
      </x:c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 ht="21" customHeight="1">
      <x:c r="A147" s="1"/>
      <x:c r="B147" s="1"/>
      <x:c r="C147" s="15" t="str">
        <x:v>Financing and investment</x:v>
      </x:c>
      <x:c r="D147" s="16"/>
      <x:c r="E147" s="16"/>
      <x:c r="F147" s="16"/>
      <x:c r="G147" s="16"/>
      <x:c r="H147" s="16"/>
      <x:c r="I147" s="16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 ht="21" customHeight="1">
      <x:c r="A148" s="1"/>
      <x:c r="B148" s="1"/>
      <x:c r="C148" s="27" t="str">
        <x:v>Total interest-bearing debt</x:v>
      </x:c>
      <x:c r="D148" s="31" t="n">
        <x:f>D121+D123</x:f>
        <x:v>380</x:v>
      </x:c>
      <x:c r="E148" s="31" t="n">
        <x:f>E121+E123</x:f>
        <x:v>360</x:v>
      </x:c>
      <x:c r="F148" s="31" t="n">
        <x:f>F121+F123</x:f>
        <x:v>350</x:v>
      </x:c>
      <x:c r="G148" s="31" t="n">
        <x:f>G121+G123</x:f>
        <x:v>300</x:v>
      </x:c>
      <x:c r="H148" s="31" t="n">
        <x:f>H121+H123</x:f>
        <x:v>250</x:v>
      </x:c>
      <x:c r="I148" s="31" t="n">
        <x:f>I121+I123</x:f>
        <x:v>200</x:v>
      </x:c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 ht="21" customHeight="1">
      <x:c r="A149" s="1"/>
      <x:c r="B149" s="1"/>
      <x:c r="C149" s="27" t="str">
        <x:v>Net debt / (net cash)</x:v>
      </x:c>
      <x:c r="D149" s="31" t="n">
        <x:f>D148-D113</x:f>
        <x:v>320.2</x:v>
      </x:c>
      <x:c r="E149" s="31" t="n">
        <x:f>E148-E113</x:f>
        <x:v>229.2</x:v>
      </x:c>
      <x:c r="F149" s="31" t="n">
        <x:f>F148-F113</x:f>
        <x:v>139.2</x:v>
      </x:c>
      <x:c r="G149" s="31" t="n">
        <x:f>G148-G113</x:f>
        <x:v>73.15459961311072</x:v>
      </x:c>
      <x:c r="H149" s="31" t="n">
        <x:f>H148-H113</x:f>
        <x:v>-15.780391938141236</x:v>
      </x:c>
      <x:c r="I149" s="31" t="n">
        <x:f>I148-I113</x:f>
        <x:v>-123.21940547042266</x:v>
      </x:c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 ht="21" customHeight="1">
      <x:c r="A150" s="1"/>
      <x:c r="B150" s="1"/>
      <x:c r="C150" s="1" t="str">
        <x:v>Operating income / interest</x:v>
      </x:c>
      <x:c r="D150" s="43" t="n">
        <x:f>D104/D106</x:f>
        <x:v>5.52</x:v>
      </x:c>
      <x:c r="E150" s="43" t="n">
        <x:f>E104/E106</x:f>
        <x:v>7.2727272727272725</x:v>
      </x:c>
      <x:c r="F150" s="43" t="n">
        <x:f>F104/F106</x:f>
        <x:v>8.999999999999998</x:v>
      </x:c>
      <x:c r="G150" s="43" t="n">
        <x:f>G104/G106</x:f>
        <x:v>10.813846153846153</x:v>
      </x:c>
      <x:c r="H150" s="43" t="n">
        <x:f>H104/H106</x:f>
        <x:v>13.930200000000005</x:v>
      </x:c>
      <x:c r="I150" s="43" t="n">
        <x:f>I104/I106</x:f>
        <x:v>18.387864000000008</x:v>
      </x:c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 ht="21" customHeight="1">
      <x:c r="A151" s="1"/>
      <x:c r="B151" s="1"/>
      <x:c r="C151" s="1" t="str">
        <x:v>Capital expenditure</x:v>
      </x:c>
      <x:c r="D151" s="2" t="str">
        <x:v>n.a.</x:v>
      </x:c>
      <x:c r="E151" s="2" t="str">
        <x:v>n.a.</x:v>
      </x:c>
      <x:c r="F151" s="2" t="str">
        <x:v>n.a.</x:v>
      </x:c>
      <x:c r="G151" s="2" t="n">
        <x:f>SUM('Base Case'!P59:S59)</x:f>
        <x:v>104.5</x:v>
      </x:c>
      <x:c r="H151" s="2" t="n">
        <x:f>SUM('Base Case'!T59:W59)</x:f>
        <x:v>113.90500000000002</x:v>
      </x:c>
      <x:c r="I151" s="2" t="n">
        <x:f>SUM('Base Case'!X59:AA59)</x:f>
        <x:v>123.01740000000001</x:v>
      </x:c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 ht="21" customHeight="1">
      <x:c r="A152" s="1"/>
      <x:c r="B152" s="1"/>
      <x:c r="C152" s="1" t="str">
        <x:v>Depreciation expense</x:v>
      </x:c>
      <x:c r="D152" s="2" t="str">
        <x:v>n.a.</x:v>
      </x:c>
      <x:c r="E152" s="2" t="str">
        <x:v>n.a.</x:v>
      </x:c>
      <x:c r="F152" s="2" t="str">
        <x:v>n.a.</x:v>
      </x:c>
      <x:c r="G152" s="2" t="n">
        <x:f>SUM('Base Case'!P15:S15)</x:f>
        <x:v>65.02470833333334</x:v>
      </x:c>
      <x:c r="H152" s="2" t="n">
        <x:f>SUM('Base Case'!T15:W15)</x:f>
        <x:v>75.92693208333334</x:v>
      </x:c>
      <x:c r="I152" s="2" t="n">
        <x:f>SUM('Base Case'!X15:AA15)</x:f>
        <x:v>87.75558665000001</x:v>
      </x:c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 ht="21" customHeight="1">
      <x:c r="A153" s="1"/>
      <x:c r="B153" s="1"/>
      <x:c r="C153" s="1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 ht="21" customHeight="1">
      <x:c r="A154" s="1"/>
      <x:c r="B154" s="1"/>
      <x:c r="C154" s="1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 ht="21" customHeight="1">
      <x:c r="A155" s="1"/>
      <x:c r="B155" s="1"/>
      <x:c r="C155" s="1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76431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 t="str">
        <x:v>USD millions. Quarterly statements above; annual statements begin at row 92. Forecast origin: December 2023.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3" t="str">
        <x:v>AST scenario 1 policy shift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1"/>
      <x:c r="D3" s="19" t="d">
        <x:v>2021-01-01T00:00:00.000Z</x:v>
      </x:c>
      <x:c r="E3" s="19" t="d">
        <x:v>2021-04-01T00:00:00.000Z</x:v>
      </x:c>
      <x:c r="F3" s="19" t="d">
        <x:v>2021-07-01T00:00:00.000Z</x:v>
      </x:c>
      <x:c r="G3" s="19" t="d">
        <x:v>2021-10-01T00:00:00.000Z</x:v>
      </x:c>
      <x:c r="H3" s="19" t="d">
        <x:v>2022-01-01T00:00:00.000Z</x:v>
      </x:c>
      <x:c r="I3" s="19" t="d">
        <x:v>2022-04-01T00:00:00.000Z</x:v>
      </x:c>
      <x:c r="J3" s="19" t="d">
        <x:v>2022-07-01T00:00:00.000Z</x:v>
      </x:c>
      <x:c r="K3" s="19" t="d">
        <x:v>2022-10-01T00:00:00.000Z</x:v>
      </x:c>
      <x:c r="L3" s="19" t="d">
        <x:v>2023-01-01T00:00:00.000Z</x:v>
      </x:c>
      <x:c r="M3" s="19" t="d">
        <x:v>2023-04-01T00:00:00.000Z</x:v>
      </x:c>
      <x:c r="N3" s="19" t="d">
        <x:v>2023-07-01T00:00:00.000Z</x:v>
      </x:c>
      <x:c r="O3" s="19" t="d">
        <x:v>2023-10-01T00:00:00.000Z</x:v>
      </x:c>
      <x:c r="P3" s="19" t="d">
        <x:v>2024-01-01T00:00:00.000Z</x:v>
      </x:c>
      <x:c r="Q3" s="19" t="d">
        <x:v>2024-04-01T00:00:00.000Z</x:v>
      </x:c>
      <x:c r="R3" s="19" t="d">
        <x:v>2024-07-01T00:00:00.000Z</x:v>
      </x:c>
      <x:c r="S3" s="19" t="d">
        <x:v>2024-10-01T00:00:00.000Z</x:v>
      </x:c>
      <x:c r="T3" s="19" t="d">
        <x:v>2025-01-01T00:00:00.000Z</x:v>
      </x:c>
      <x:c r="U3" s="19" t="d">
        <x:v>2025-04-01T00:00:00.000Z</x:v>
      </x:c>
      <x:c r="V3" s="19" t="d">
        <x:v>2025-07-01T00:00:00.000Z</x:v>
      </x:c>
      <x:c r="W3" s="19" t="d">
        <x:v>2025-10-01T00:00:00.000Z</x:v>
      </x:c>
      <x:c r="X3" s="19" t="d">
        <x:v>2026-01-01T00:00:00.000Z</x:v>
      </x:c>
      <x:c r="Y3" s="19" t="d">
        <x:v>2026-04-01T00:00:00.000Z</x:v>
      </x:c>
      <x:c r="Z3" s="19" t="d">
        <x:v>2026-07-01T00:00:00.000Z</x:v>
      </x:c>
      <x:c r="AA3" s="19" t="d">
        <x:v>2026-10-01T00:00:00.000Z</x:v>
      </x:c>
    </x:row>
    <x:row r="4" ht="21" customHeight="1">
      <x:c r="A4" s="1"/>
      <x:c r="B4" s="1"/>
      <x:c r="C4" s="1"/>
      <x:c r="D4" s="22" t="str">
        <x:v>Q1:21</x:v>
      </x:c>
      <x:c r="E4" s="22" t="str">
        <x:v>Q2:21</x:v>
      </x:c>
      <x:c r="F4" s="22" t="str">
        <x:v>Q3:21</x:v>
      </x:c>
      <x:c r="G4" s="22" t="str">
        <x:v>Q4:21</x:v>
      </x:c>
      <x:c r="H4" s="22" t="str">
        <x:v>Q1:22</x:v>
      </x:c>
      <x:c r="I4" s="22" t="str">
        <x:v>Q2:22</x:v>
      </x:c>
      <x:c r="J4" s="22" t="str">
        <x:v>Q3:22</x:v>
      </x:c>
      <x:c r="K4" s="22" t="str">
        <x:v>Q4:22</x:v>
      </x:c>
      <x:c r="L4" s="22" t="str">
        <x:v>Q1:23</x:v>
      </x:c>
      <x:c r="M4" s="22" t="str">
        <x:v>Q2:23</x:v>
      </x:c>
      <x:c r="N4" s="22" t="str">
        <x:v>Q3:23</x:v>
      </x:c>
      <x:c r="O4" s="22" t="str">
        <x:v>Q4:23</x:v>
      </x:c>
      <x:c r="P4" s="34" t="str">
        <x:v>Q1:24</x:v>
      </x:c>
      <x:c r="Q4" s="34" t="str">
        <x:v>Q2:24</x:v>
      </x:c>
      <x:c r="R4" s="34" t="str">
        <x:v>Q3:24</x:v>
      </x:c>
      <x:c r="S4" s="34" t="str">
        <x:v>Q4:24</x:v>
      </x:c>
      <x:c r="T4" s="34" t="str">
        <x:v>Q1:25</x:v>
      </x:c>
      <x:c r="U4" s="34" t="str">
        <x:v>Q2:25</x:v>
      </x:c>
      <x:c r="V4" s="34" t="str">
        <x:v>Q3:25</x:v>
      </x:c>
      <x:c r="W4" s="34" t="str">
        <x:v>Q4:25</x:v>
      </x:c>
      <x:c r="X4" s="34" t="str">
        <x:v>Q1:26</x:v>
      </x:c>
      <x:c r="Y4" s="34" t="str">
        <x:v>Q2:26</x:v>
      </x:c>
      <x:c r="Z4" s="34" t="str">
        <x:v>Q3:26</x:v>
      </x:c>
      <x:c r="AA4" s="34" t="str">
        <x:v>Q4:26</x:v>
      </x:c>
    </x:row>
    <x:row r="5" ht="21" customHeight="1">
      <x:c r="A5" s="1"/>
      <x:c r="B5" s="1"/>
      <x:c r="C5" s="1"/>
      <x:c r="D5" s="22" t="str">
        <x:v>Historical basis</x:v>
      </x:c>
      <x:c r="E5" s="22" t="str">
        <x:v>Historical basis</x:v>
      </x:c>
      <x:c r="F5" s="22" t="str">
        <x:v>Historical basis</x:v>
      </x:c>
      <x:c r="G5" s="22" t="str">
        <x:v>Historical basis</x:v>
      </x:c>
      <x:c r="H5" s="22" t="str">
        <x:v>Historical basis</x:v>
      </x:c>
      <x:c r="I5" s="22" t="str">
        <x:v>Historical basis</x:v>
      </x:c>
      <x:c r="J5" s="22" t="str">
        <x:v>Historical basis</x:v>
      </x:c>
      <x:c r="K5" s="22" t="str">
        <x:v>Historical basis</x:v>
      </x:c>
      <x:c r="L5" s="22" t="str">
        <x:v>Historical basis</x:v>
      </x:c>
      <x:c r="M5" s="22" t="str">
        <x:v>Historical basis</x:v>
      </x:c>
      <x:c r="N5" s="22" t="str">
        <x:v>Historical basis</x:v>
      </x:c>
      <x:c r="O5" s="22" t="str">
        <x:v>Historical basis</x:v>
      </x:c>
      <x:c r="P5" s="34" t="str">
        <x:v>Policy shift</x:v>
      </x:c>
      <x:c r="Q5" s="34" t="str">
        <x:v>Policy shift</x:v>
      </x:c>
      <x:c r="R5" s="34" t="str">
        <x:v>Policy shift</x:v>
      </x:c>
      <x:c r="S5" s="34" t="str">
        <x:v>Policy shift</x:v>
      </x:c>
      <x:c r="T5" s="34" t="str">
        <x:v>Policy shift</x:v>
      </x:c>
      <x:c r="U5" s="34" t="str">
        <x:v>Policy shift</x:v>
      </x:c>
      <x:c r="V5" s="34" t="str">
        <x:v>Policy shift</x:v>
      </x:c>
      <x:c r="W5" s="34" t="str">
        <x:v>Policy shift</x:v>
      </x:c>
      <x:c r="X5" s="34" t="str">
        <x:v>Policy shift</x:v>
      </x:c>
      <x:c r="Y5" s="34" t="str">
        <x:v>Policy shift</x:v>
      </x:c>
      <x:c r="Z5" s="34" t="str">
        <x:v>Policy shift</x:v>
      </x:c>
      <x:c r="AA5" s="34" t="str">
        <x:v>Policy shift</x:v>
      </x:c>
    </x:row>
    <x:row r="6" ht="21" customHeight="1">
      <x:c r="A6" s="1"/>
      <x:c r="B6" s="1"/>
      <x:c r="C6" s="1" t="str">
        <x:v>Days in quarter</x:v>
      </x:c>
      <x:c r="D6" s="1" t="n">
        <x:v>90</x:v>
      </x:c>
      <x:c r="E6" s="1" t="n">
        <x:v>91</x:v>
      </x:c>
      <x:c r="F6" s="1" t="n">
        <x:v>92</x:v>
      </x:c>
      <x:c r="G6" s="1" t="n">
        <x:v>92</x:v>
      </x:c>
      <x:c r="H6" s="1" t="n">
        <x:v>90</x:v>
      </x:c>
      <x:c r="I6" s="1" t="n">
        <x:v>91</x:v>
      </x:c>
      <x:c r="J6" s="1" t="n">
        <x:v>92</x:v>
      </x:c>
      <x:c r="K6" s="1" t="n">
        <x:v>92</x:v>
      </x:c>
      <x:c r="L6" s="1" t="n">
        <x:v>90</x:v>
      </x:c>
      <x:c r="M6" s="1" t="n">
        <x:v>91</x:v>
      </x:c>
      <x:c r="N6" s="1" t="n">
        <x:v>92</x:v>
      </x:c>
      <x:c r="O6" s="1" t="n">
        <x:v>92</x:v>
      </x:c>
      <x:c r="P6" s="1" t="n">
        <x:v>91</x:v>
      </x:c>
      <x:c r="Q6" s="1" t="n">
        <x:v>91</x:v>
      </x:c>
      <x:c r="R6" s="1" t="n">
        <x:v>92</x:v>
      </x:c>
      <x:c r="S6" s="1" t="n">
        <x:v>92</x:v>
      </x:c>
      <x:c r="T6" s="1" t="n">
        <x:v>90</x:v>
      </x:c>
      <x:c r="U6" s="1" t="n">
        <x:v>91</x:v>
      </x:c>
      <x:c r="V6" s="1" t="n">
        <x:v>92</x:v>
      </x:c>
      <x:c r="W6" s="1" t="n">
        <x:v>92</x:v>
      </x:c>
      <x:c r="X6" s="1" t="n">
        <x:v>90</x:v>
      </x:c>
      <x:c r="Y6" s="1" t="n">
        <x:v>91</x:v>
      </x:c>
      <x:c r="Z6" s="1" t="n">
        <x:v>92</x:v>
      </x:c>
      <x:c r="AA6" s="1" t="n">
        <x:v>92</x:v>
      </x:c>
    </x:row>
    <x:row r="7" ht="21" customHeight="1">
      <x:c r="A7" s="1"/>
      <x:c r="B7" s="1"/>
      <x:c r="C7" s="15" t="str">
        <x:v>Income statement</x:v>
      </x:c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  <x:c r="AA7" s="16"/>
    </x:row>
    <x:row r="8" ht="21" customHeight="1">
      <x:c r="A8" s="1"/>
      <x:c r="B8" s="1"/>
      <x:c r="C8" s="1" t="str">
        <x:v>Annual baseline revenue before shock</x:v>
      </x:c>
      <x:c r="D8" s="20" t="n">
        <x:f>SUM(D10:G10)</x:f>
        <x:v>720.0000000000001</x:v>
      </x:c>
      <x:c r="E8" s="20" t="n">
        <x:f>SUM(D10:G10)</x:f>
        <x:v>720.0000000000001</x:v>
      </x:c>
      <x:c r="F8" s="20" t="n">
        <x:f>SUM(D10:G10)</x:f>
        <x:v>720.0000000000001</x:v>
      </x:c>
      <x:c r="G8" s="20" t="n">
        <x:f>SUM(D10:G10)</x:f>
        <x:v>720.0000000000001</x:v>
      </x:c>
      <x:c r="H8" s="20" t="n">
        <x:f>SUM(H10:K10)</x:f>
        <x:v>850</x:v>
      </x:c>
      <x:c r="I8" s="20" t="n">
        <x:f>SUM(H10:K10)</x:f>
        <x:v>850</x:v>
      </x:c>
      <x:c r="J8" s="20" t="n">
        <x:f>SUM(H10:K10)</x:f>
        <x:v>850</x:v>
      </x:c>
      <x:c r="K8" s="20" t="n">
        <x:f>SUM(H10:K10)</x:f>
        <x:v>850</x:v>
      </x:c>
      <x:c r="L8" s="20" t="n">
        <x:f>SUM(L10:O10)</x:f>
        <x:v>950</x:v>
      </x:c>
      <x:c r="M8" s="20" t="n">
        <x:f>SUM(L10:O10)</x:f>
        <x:v>950</x:v>
      </x:c>
      <x:c r="N8" s="20" t="n">
        <x:f>SUM(L10:O10)</x:f>
        <x:v>950</x:v>
      </x:c>
      <x:c r="O8" s="20" t="n">
        <x:f>SUM(L10:O10)</x:f>
        <x:v>950</x:v>
      </x:c>
      <x:c r="P8" s="8" t="n">
        <x:f>'Base Case'!P8</x:f>
        <x:v>1045</x:v>
      </x:c>
      <x:c r="Q8" s="8" t="n">
        <x:f>'Base Case'!Q8</x:f>
        <x:v>1045</x:v>
      </x:c>
      <x:c r="R8" s="8" t="n">
        <x:f>'Base Case'!R8</x:f>
        <x:v>1045</x:v>
      </x:c>
      <x:c r="S8" s="8" t="n">
        <x:f>'Base Case'!S8</x:f>
        <x:v>1045</x:v>
      </x:c>
      <x:c r="T8" s="8" t="n">
        <x:f>'Base Case'!T8</x:f>
        <x:v>1139.0500000000002</x:v>
      </x:c>
      <x:c r="U8" s="8" t="n">
        <x:f>'Base Case'!U8</x:f>
        <x:v>1139.0500000000002</x:v>
      </x:c>
      <x:c r="V8" s="8" t="n">
        <x:f>'Base Case'!V8</x:f>
        <x:v>1139.0500000000002</x:v>
      </x:c>
      <x:c r="W8" s="8" t="n">
        <x:f>'Base Case'!W8</x:f>
        <x:v>1139.0500000000002</x:v>
      </x:c>
      <x:c r="X8" s="8" t="n">
        <x:f>'Base Case'!X8</x:f>
        <x:v>1230.1740000000002</x:v>
      </x:c>
      <x:c r="Y8" s="8" t="n">
        <x:f>'Base Case'!Y8</x:f>
        <x:v>1230.1740000000002</x:v>
      </x:c>
      <x:c r="Z8" s="8" t="n">
        <x:f>'Base Case'!Z8</x:f>
        <x:v>1230.1740000000002</x:v>
      </x:c>
      <x:c r="AA8" s="8" t="n">
        <x:f>'Base Case'!AA8</x:f>
        <x:v>1230.1740000000002</x:v>
      </x:c>
    </x:row>
    <x:row r="9" ht="21" customHeight="1">
      <x:c r="A9" s="1"/>
      <x:c r="B9" s="1"/>
      <x:c r="C9" s="1" t="str">
        <x:v>Quarter share of annual revenue</x:v>
      </x:c>
      <x:c r="D9" s="32" t="n">
        <x:f>D10/D8</x:f>
        <x:v>0.24</x:v>
      </x:c>
      <x:c r="E9" s="32" t="n">
        <x:f>E10/E8</x:f>
        <x:v>0.21999999999999997</x:v>
      </x:c>
      <x:c r="F9" s="32" t="n">
        <x:f>F10/F8</x:f>
        <x:v>0.25999999999999995</x:v>
      </x:c>
      <x:c r="G9" s="32" t="n">
        <x:f>G10/G8</x:f>
        <x:v>0.27999999999999997</x:v>
      </x:c>
      <x:c r="H9" s="32" t="n">
        <x:f>H10/H8</x:f>
        <x:v>0.23</x:v>
      </x:c>
      <x:c r="I9" s="32" t="n">
        <x:f>I10/I8</x:f>
        <x:v>0.23</x:v>
      </x:c>
      <x:c r="J9" s="32" t="n">
        <x:f>J10/J8</x:f>
        <x:v>0.26</x:v>
      </x:c>
      <x:c r="K9" s="32" t="n">
        <x:f>K10/K8</x:f>
        <x:v>0.28</x:v>
      </x:c>
      <x:c r="L9" s="32" t="n">
        <x:f>L10/L8</x:f>
        <x:v>0.24</x:v>
      </x:c>
      <x:c r="M9" s="32" t="n">
        <x:f>M10/M8</x:f>
        <x:v>0.23</x:v>
      </x:c>
      <x:c r="N9" s="32" t="n">
        <x:f>N10/N8</x:f>
        <x:v>0.26</x:v>
      </x:c>
      <x:c r="O9" s="32" t="n">
        <x:f>O10/O8</x:f>
        <x:v>0.27</x:v>
      </x:c>
      <x:c r="P9" s="11" t="n">
        <x:f>'Base Case'!P9</x:f>
        <x:v>0.23666666666666666</x:v>
      </x:c>
      <x:c r="Q9" s="11" t="n">
        <x:f>'Base Case'!Q9</x:f>
        <x:v>0.22666666666666666</x:v>
      </x:c>
      <x:c r="R9" s="11" t="n">
        <x:f>'Base Case'!R9</x:f>
        <x:v>0.26</x:v>
      </x:c>
      <x:c r="S9" s="11" t="n">
        <x:f>'Base Case'!S9</x:f>
        <x:v>0.27666666666666667</x:v>
      </x:c>
      <x:c r="T9" s="11" t="n">
        <x:f>'Base Case'!T9</x:f>
        <x:v>0.23666666666666666</x:v>
      </x:c>
      <x:c r="U9" s="11" t="n">
        <x:f>'Base Case'!U9</x:f>
        <x:v>0.22666666666666666</x:v>
      </x:c>
      <x:c r="V9" s="11" t="n">
        <x:f>'Base Case'!V9</x:f>
        <x:v>0.26</x:v>
      </x:c>
      <x:c r="W9" s="11" t="n">
        <x:f>'Base Case'!W9</x:f>
        <x:v>0.27666666666666667</x:v>
      </x:c>
      <x:c r="X9" s="11" t="n">
        <x:f>'Base Case'!X9</x:f>
        <x:v>0.23666666666666666</x:v>
      </x:c>
      <x:c r="Y9" s="11" t="n">
        <x:f>'Base Case'!Y9</x:f>
        <x:v>0.22666666666666666</x:v>
      </x:c>
      <x:c r="Z9" s="11" t="n">
        <x:f>'Base Case'!Z9</x:f>
        <x:v>0.26</x:v>
      </x:c>
      <x:c r="AA9" s="11" t="n">
        <x:f>'Base Case'!AA9</x:f>
        <x:v>0.27666666666666667</x:v>
      </x:c>
    </x:row>
    <x:row r="10" ht="21" customHeight="1">
      <x:c r="A10" s="1"/>
      <x:c r="B10" s="1"/>
      <x:c r="C10" s="1" t="str">
        <x:v>Revenue</x:v>
      </x:c>
      <x:c r="D10" s="8" t="n">
        <x:f>Source!C4</x:f>
        <x:v>172.8</x:v>
      </x:c>
      <x:c r="E10" s="8" t="n">
        <x:f>Source!D4</x:f>
        <x:v>158.4</x:v>
      </x:c>
      <x:c r="F10" s="8" t="n">
        <x:f>Source!E4</x:f>
        <x:v>187.2</x:v>
      </x:c>
      <x:c r="G10" s="8" t="n">
        <x:f>Source!F4</x:f>
        <x:v>201.6</x:v>
      </x:c>
      <x:c r="H10" s="8" t="n">
        <x:f>Source!G4</x:f>
        <x:v>195.5</x:v>
      </x:c>
      <x:c r="I10" s="8" t="n">
        <x:f>Source!H4</x:f>
        <x:v>195.5</x:v>
      </x:c>
      <x:c r="J10" s="8" t="n">
        <x:f>Source!I4</x:f>
        <x:v>221</x:v>
      </x:c>
      <x:c r="K10" s="8" t="n">
        <x:f>Source!J4</x:f>
        <x:v>238</x:v>
      </x:c>
      <x:c r="L10" s="8" t="n">
        <x:f>Source!K4</x:f>
        <x:v>228</x:v>
      </x:c>
      <x:c r="M10" s="8" t="n">
        <x:f>Source!L4</x:f>
        <x:v>218.5</x:v>
      </x:c>
      <x:c r="N10" s="8" t="n">
        <x:f>Source!M4</x:f>
        <x:v>247</x:v>
      </x:c>
      <x:c r="O10" s="8" t="n">
        <x:f>Source!N4</x:f>
        <x:v>256.5</x:v>
      </x:c>
      <x:c r="P10" s="8" t="n">
        <x:f>P71*(1+Assumptions!D47)*(1+Assumptions!D48)</x:f>
        <x:v>218.1333</x:v>
      </x:c>
      <x:c r="Q10" s="8" t="n">
        <x:f>Q71*(1+Assumptions!D47)*(1+Assumptions!D48)</x:f>
        <x:v>208.91639999999998</x:v>
      </x:c>
      <x:c r="R10" s="8" t="n">
        <x:f>R71*(1+Assumptions!D47)*(1+Assumptions!D48)</x:f>
        <x:v>239.6394</x:v>
      </x:c>
      <x:c r="S10" s="8" t="n">
        <x:f>S71*(1+Assumptions!D47)*(1+Assumptions!D48)</x:f>
        <x:v>255.00090000000003</x:v>
      </x:c>
      <x:c r="T10" s="8" t="n">
        <x:f>T71*(1+Assumptions!E47)*(1+Assumptions!E48)</x:f>
        <x:v>237.76529700000003</x:v>
      </x:c>
      <x:c r="U10" s="8" t="n">
        <x:f>U71*(1+Assumptions!E47)*(1+Assumptions!E48)</x:f>
        <x:v>227.71887600000005</x:v>
      </x:c>
      <x:c r="V10" s="8" t="n">
        <x:f>V71*(1+Assumptions!E47)*(1+Assumptions!E48)</x:f>
        <x:v>261.2069460000001</x:v>
      </x:c>
      <x:c r="W10" s="8" t="n">
        <x:f>W71*(1+Assumptions!E47)*(1+Assumptions!E48)</x:f>
        <x:v>277.95098100000007</x:v>
      </x:c>
      <x:c r="X10" s="8" t="n">
        <x:f>X71*(1+Assumptions!F47)*(1+Assumptions!F48)</x:f>
        <x:v>256.78652076</x:v>
      </x:c>
      <x:c r="Y10" s="8" t="n">
        <x:f>Y71*(1+Assumptions!F47)*(1+Assumptions!F48)</x:f>
        <x:v>245.93638608000003</x:v>
      </x:c>
      <x:c r="Z10" s="8" t="n">
        <x:f>Z71*(1+Assumptions!F47)*(1+Assumptions!F48)</x:f>
        <x:v>282.10350168</x:v>
      </x:c>
      <x:c r="AA10" s="8" t="n">
        <x:f>AA71*(1+Assumptions!F47)*(1+Assumptions!F48)</x:f>
        <x:v>300.1870594800001</x:v>
      </x:c>
    </x:row>
    <x:row r="11" ht="21" customHeight="1">
      <x:c r="A11" s="1"/>
      <x:c r="B11" s="1"/>
      <x:c r="C11" s="1" t="str">
        <x:v>Cost of goods sold</x:v>
      </x:c>
      <x:c r="D11" s="8" t="n">
        <x:f>Source!C5</x:f>
        <x:v>103.68</x:v>
      </x:c>
      <x:c r="E11" s="8" t="n">
        <x:f>Source!D5</x:f>
        <x:v>95.04</x:v>
      </x:c>
      <x:c r="F11" s="8" t="n">
        <x:f>Source!E5</x:f>
        <x:v>112.32</x:v>
      </x:c>
      <x:c r="G11" s="8" t="n">
        <x:f>Source!F5</x:f>
        <x:v>120.96</x:v>
      </x:c>
      <x:c r="H11" s="8" t="n">
        <x:f>Source!G5</x:f>
        <x:v>117.3</x:v>
      </x:c>
      <x:c r="I11" s="8" t="n">
        <x:f>Source!H5</x:f>
        <x:v>117.3</x:v>
      </x:c>
      <x:c r="J11" s="8" t="n">
        <x:f>Source!I5</x:f>
        <x:v>132.6</x:v>
      </x:c>
      <x:c r="K11" s="8" t="n">
        <x:f>Source!J5</x:f>
        <x:v>142.8</x:v>
      </x:c>
      <x:c r="L11" s="8" t="n">
        <x:f>Source!K5</x:f>
        <x:v>136.8</x:v>
      </x:c>
      <x:c r="M11" s="8" t="n">
        <x:f>Source!L5</x:f>
        <x:v>131.1</x:v>
      </x:c>
      <x:c r="N11" s="8" t="n">
        <x:f>Source!M5</x:f>
        <x:v>148.2</x:v>
      </x:c>
      <x:c r="O11" s="8" t="n">
        <x:f>Source!N5</x:f>
        <x:v>153.9</x:v>
      </x:c>
      <x:c r="P11" s="8" t="n">
        <x:f>P72*(1+Assumptions!D47)</x:f>
        <x:v>133.551</x:v>
      </x:c>
      <x:c r="Q11" s="8" t="n">
        <x:f>Q72*(1+Assumptions!D47)</x:f>
        <x:v>127.90799999999999</x:v>
      </x:c>
      <x:c r="R11" s="8" t="n">
        <x:f>R72*(1+Assumptions!D47)</x:f>
        <x:v>146.718</x:v>
      </x:c>
      <x:c r="S11" s="8" t="n">
        <x:f>S72*(1+Assumptions!D47)</x:f>
        <x:v>156.123</x:v>
      </x:c>
      <x:c r="T11" s="8" t="n">
        <x:f>T72*(1+Assumptions!E47)</x:f>
        <x:v>145.57059</x:v>
      </x:c>
      <x:c r="U11" s="8" t="n">
        <x:f>U72*(1+Assumptions!E47)</x:f>
        <x:v>139.41972</x:v>
      </x:c>
      <x:c r="V11" s="8" t="n">
        <x:f>V72*(1+Assumptions!E47)</x:f>
        <x:v>159.92262000000002</x:v>
      </x:c>
      <x:c r="W11" s="8" t="n">
        <x:f>W72*(1+Assumptions!E47)</x:f>
        <x:v>170.17407</x:v>
      </x:c>
      <x:c r="X11" s="8" t="n">
        <x:f>X72*(1+Assumptions!F47)</x:f>
        <x:v>157.2162372</x:v>
      </x:c>
      <x:c r="Y11" s="8" t="n">
        <x:f>Y72*(1+Assumptions!F47)</x:f>
        <x:v>150.5732976</x:v>
      </x:c>
      <x:c r="Z11" s="8" t="n">
        <x:f>Z72*(1+Assumptions!F47)</x:f>
        <x:v>172.71642960000003</x:v>
      </x:c>
      <x:c r="AA11" s="8" t="n">
        <x:f>AA72*(1+Assumptions!F47)</x:f>
        <x:v>183.78799560000004</x:v>
      </x:c>
    </x:row>
    <x:row r="12" ht="21" customHeight="1">
      <x:c r="A12" s="1"/>
      <x:c r="B12" s="1"/>
      <x:c r="C12" s="27" t="str">
        <x:v>Gross profit</x:v>
      </x:c>
      <x:c r="D12" s="28" t="n">
        <x:f>Source!C6</x:f>
        <x:v>69.12</x:v>
      </x:c>
      <x:c r="E12" s="28" t="n">
        <x:f>Source!D6</x:f>
        <x:v>63.36</x:v>
      </x:c>
      <x:c r="F12" s="28" t="n">
        <x:f>Source!E6</x:f>
        <x:v>74.88</x:v>
      </x:c>
      <x:c r="G12" s="28" t="n">
        <x:f>Source!F6</x:f>
        <x:v>80.64</x:v>
      </x:c>
      <x:c r="H12" s="28" t="n">
        <x:f>Source!G6</x:f>
        <x:v>78.2</x:v>
      </x:c>
      <x:c r="I12" s="28" t="n">
        <x:f>Source!H6</x:f>
        <x:v>78.2</x:v>
      </x:c>
      <x:c r="J12" s="28" t="n">
        <x:f>Source!I6</x:f>
        <x:v>88.4</x:v>
      </x:c>
      <x:c r="K12" s="28" t="n">
        <x:f>Source!J6</x:f>
        <x:v>95.2</x:v>
      </x:c>
      <x:c r="L12" s="28" t="n">
        <x:f>Source!K6</x:f>
        <x:v>91.2</x:v>
      </x:c>
      <x:c r="M12" s="28" t="n">
        <x:f>Source!L6</x:f>
        <x:v>87.4</x:v>
      </x:c>
      <x:c r="N12" s="28" t="n">
        <x:f>Source!M6</x:f>
        <x:v>98.8</x:v>
      </x:c>
      <x:c r="O12" s="28" t="n">
        <x:f>Source!N6</x:f>
        <x:v>102.6</x:v>
      </x:c>
      <x:c r="P12" s="29" t="n">
        <x:f>P10-P11</x:f>
        <x:v>84.5823</x:v>
      </x:c>
      <x:c r="Q12" s="29" t="n">
        <x:f>Q10-Q11</x:f>
        <x:v>81.0084</x:v>
      </x:c>
      <x:c r="R12" s="29" t="n">
        <x:f>R10-R11</x:f>
        <x:v>92.9214</x:v>
      </x:c>
      <x:c r="S12" s="29" t="n">
        <x:f>S10-S11</x:f>
        <x:v>98.87790000000004</x:v>
      </x:c>
      <x:c r="T12" s="29" t="n">
        <x:f>T10-T11</x:f>
        <x:v>92.19470700000002</x:v>
      </x:c>
      <x:c r="U12" s="29" t="n">
        <x:f>U10-U11</x:f>
        <x:v>88.29915600000004</x:v>
      </x:c>
      <x:c r="V12" s="29" t="n">
        <x:f>V10-V11</x:f>
        <x:v>101.28432600000005</x:v>
      </x:c>
      <x:c r="W12" s="29" t="n">
        <x:f>W10-W11</x:f>
        <x:v>107.77691100000007</x:v>
      </x:c>
      <x:c r="X12" s="29" t="n">
        <x:f>X10-X11</x:f>
        <x:v>99.57028355999998</x:v>
      </x:c>
      <x:c r="Y12" s="29" t="n">
        <x:f>Y10-Y11</x:f>
        <x:v>95.36308848000004</x:v>
      </x:c>
      <x:c r="Z12" s="29" t="n">
        <x:f>Z10-Z11</x:f>
        <x:v>109.38707208</x:v>
      </x:c>
      <x:c r="AA12" s="29" t="n">
        <x:f>AA10-AA11</x:f>
        <x:v>116.39906388000003</x:v>
      </x:c>
    </x:row>
    <x:row r="13" ht="21" customHeight="1">
      <x:c r="A13" s="1"/>
      <x:c r="B13" s="1"/>
      <x:c r="C13" s="1" t="str">
        <x:v>Total operating expenses</x:v>
      </x:c>
      <x:c r="D13" s="8" t="n">
        <x:f>Source!C7</x:f>
        <x:v>36</x:v>
      </x:c>
      <x:c r="E13" s="8" t="n">
        <x:f>Source!D7</x:f>
        <x:v>33</x:v>
      </x:c>
      <x:c r="F13" s="8" t="n">
        <x:f>Source!E7</x:f>
        <x:v>39</x:v>
      </x:c>
      <x:c r="G13" s="8" t="n">
        <x:f>Source!F7</x:f>
        <x:v>42</x:v>
      </x:c>
      <x:c r="H13" s="8" t="n">
        <x:f>Source!G7</x:f>
        <x:v>41.4</x:v>
      </x:c>
      <x:c r="I13" s="8" t="n">
        <x:f>Source!H7</x:f>
        <x:v>41.4</x:v>
      </x:c>
      <x:c r="J13" s="8" t="n">
        <x:f>Source!I7</x:f>
        <x:v>46.8</x:v>
      </x:c>
      <x:c r="K13" s="8" t="n">
        <x:f>Source!J7</x:f>
        <x:v>50.4</x:v>
      </x:c>
      <x:c r="L13" s="8" t="n">
        <x:f>Source!K7</x:f>
        <x:v>48</x:v>
      </x:c>
      <x:c r="M13" s="8" t="n">
        <x:f>Source!L7</x:f>
        <x:v>46</x:v>
      </x:c>
      <x:c r="N13" s="8" t="n">
        <x:f>Source!M7</x:f>
        <x:v>52</x:v>
      </x:c>
      <x:c r="O13" s="8" t="n">
        <x:f>Source!N7</x:f>
        <x:v>54</x:v>
      </x:c>
      <x:c r="P13" s="20" t="n">
        <x:f>P14+P15</x:f>
        <x:v>50.963941041666665</x:v>
      </x:c>
      <x:c r="Q13" s="20" t="n">
        <x:f>Q14+Q15</x:f>
        <x:v>48.84809791666666</x:v>
      </x:c>
      <x:c r="R13" s="20" t="n">
        <x:f>R14+R15</x:f>
        <x:v>55.98050249999999</x:v>
      </x:c>
      <x:c r="S13" s="20" t="n">
        <x:f>S14+S15</x:f>
        <x:v>59.55819979166667</x:v>
      </x:c>
      <x:c r="T13" s="20" t="n">
        <x:f>T14+T15</x:f>
        <x:v>55.58857073541667</x:v>
      </x:c>
      <x:c r="U13" s="20" t="n">
        <x:f>U14+U15</x:f>
        <x:v>53.282301729166676</x:v>
      </x:c>
      <x:c r="V13" s="20" t="n">
        <x:f>V14+V15</x:f>
        <x:v>61.05662272500001</x:v>
      </x:c>
      <x:c r="W13" s="20" t="n">
        <x:f>W14+W15</x:f>
        <x:v>64.95631277291668</x:v>
      </x:c>
      <x:c r="X13" s="20" t="n">
        <x:f>X14+X15</x:f>
        <x:v>60.07881514425</x:v>
      </x:c>
      <x:c r="Y13" s="20" t="n">
        <x:f>Y14+Y15</x:f>
        <x:v>57.5880446175</x:v>
      </x:c>
      <x:c r="Z13" s="20" t="n">
        <x:f>Z14+Z15</x:f>
        <x:v>65.984311293</x:v>
      </x:c>
      <x:c r="AA13" s="20" t="n">
        <x:f>AA14+AA15</x:f>
        <x:v>70.19597654475001</x:v>
      </x:c>
    </x:row>
    <x:row r="14" ht="21" customHeight="1">
      <x:c r="A14" s="1"/>
      <x:c r="B14" s="1"/>
      <x:c r="C14" s="1" t="str">
        <x:v>Cash operating expenses</x:v>
      </x:c>
      <x:c r="D14" s="2" t="str">
        <x:v>n.a.</x:v>
      </x:c>
      <x:c r="E14" s="2" t="str">
        <x:v>n.a.</x:v>
      </x:c>
      <x:c r="F14" s="2" t="str">
        <x:v>n.a.</x:v>
      </x:c>
      <x:c r="G14" s="2" t="str">
        <x:v>n.a.</x:v>
      </x:c>
      <x:c r="H14" s="2" t="str">
        <x:v>n.a.</x:v>
      </x:c>
      <x:c r="I14" s="2" t="str">
        <x:v>n.a.</x:v>
      </x:c>
      <x:c r="J14" s="2" t="str">
        <x:v>n.a.</x:v>
      </x:c>
      <x:c r="K14" s="2" t="str">
        <x:v>n.a.</x:v>
      </x:c>
      <x:c r="L14" s="2" t="str">
        <x:v>n.a.</x:v>
      </x:c>
      <x:c r="M14" s="2" t="str">
        <x:v>n.a.</x:v>
      </x:c>
      <x:c r="N14" s="2" t="str">
        <x:v>n.a.</x:v>
      </x:c>
      <x:c r="O14" s="2" t="str">
        <x:v>n.a.</x:v>
      </x:c>
      <x:c r="P14" s="8" t="n">
        <x:f>P73*(Assumptions!D52+(1-Assumptions!D52)*(1+Assumptions!D47))</x:f>
        <x:v>35.65479520833333</x:v>
      </x:c>
      <x:c r="Q14" s="8" t="n">
        <x:f>Q73*(Assumptions!D52+(1-Assumptions!D52)*(1+Assumptions!D47))</x:f>
        <x:v>32.93372291666666</x:v>
      </x:c>
      <x:c r="R14" s="8" t="n">
        <x:f>R73*(Assumptions!D52+(1-Assumptions!D52)*(1+Assumptions!D47))</x:f>
        <x:v>39.43041916666666</x:v>
      </x:c>
      <x:c r="S14" s="8" t="n">
        <x:f>S73*(Assumptions!D52+(1-Assumptions!D52)*(1+Assumptions!D47))</x:f>
        <x:v>42.307095624999995</x:v>
      </x:c>
      <x:c r="T14" s="8" t="n">
        <x:f>T73*(Assumptions!E52+(1-Assumptions!E52)*(1+Assumptions!E47))</x:f>
        <x:v>37.63910177708333</x:v>
      </x:c>
      <x:c r="U14" s="8" t="n">
        <x:f>U73*(Assumptions!E52+(1-Assumptions!E52)*(1+Assumptions!E47))</x:f>
        <x:v>34.67313297916668</x:v>
      </x:c>
      <x:c r="V14" s="8" t="n">
        <x:f>V73*(Assumptions!E52+(1-Assumptions!E52)*(1+Assumptions!E47))</x:f>
        <x:v>41.75453189166667</x:v>
      </x:c>
      <x:c r="W14" s="8" t="n">
        <x:f>W73*(Assumptions!E52+(1-Assumptions!E52)*(1+Assumptions!E47))</x:f>
        <x:v>44.89010923125</x:v>
      </x:c>
      <x:c r="X14" s="8" t="n">
        <x:f>X73*(Assumptions!F52+(1-Assumptions!F52)*(1+Assumptions!F47))</x:f>
        <x:v>39.25476366925</x:v>
      </x:c>
      <x:c r="Y14" s="8" t="n">
        <x:f>Y73*(Assumptions!F52+(1-Assumptions!F52)*(1+Assumptions!F47))</x:f>
        <x:v>36.0515173675</x:v>
      </x:c>
      <x:c r="Z14" s="8" t="n">
        <x:f>Z73*(Assumptions!F52+(1-Assumptions!F52)*(1+Assumptions!F47))</x:f>
        <x:v>43.699428193</x:v>
      </x:c>
      <x:c r="AA14" s="8" t="n">
        <x:f>AA73*(Assumptions!F52+(1-Assumptions!F52)*(1+Assumptions!F47))</x:f>
        <x:v>47.08585171975</x:v>
      </x:c>
    </x:row>
    <x:row r="15" ht="21" customHeight="1">
      <x:c r="A15" s="1"/>
      <x:c r="B15" s="1"/>
      <x:c r="C15" s="1" t="str">
        <x:v>Depreciation expense</x:v>
      </x:c>
      <x:c r="D15" s="2" t="str">
        <x:v>n.a.</x:v>
      </x:c>
      <x:c r="E15" s="2" t="str">
        <x:v>n.a.</x:v>
      </x:c>
      <x:c r="F15" s="2" t="str">
        <x:v>n.a.</x:v>
      </x:c>
      <x:c r="G15" s="2" t="str">
        <x:v>n.a.</x:v>
      </x:c>
      <x:c r="H15" s="2" t="str">
        <x:v>n.a.</x:v>
      </x:c>
      <x:c r="I15" s="2" t="str">
        <x:v>n.a.</x:v>
      </x:c>
      <x:c r="J15" s="2" t="str">
        <x:v>n.a.</x:v>
      </x:c>
      <x:c r="K15" s="2" t="str">
        <x:v>n.a.</x:v>
      </x:c>
      <x:c r="L15" s="2" t="str">
        <x:v>n.a.</x:v>
      </x:c>
      <x:c r="M15" s="2" t="str">
        <x:v>n.a.</x:v>
      </x:c>
      <x:c r="N15" s="2" t="str">
        <x:v>n.a.</x:v>
      </x:c>
      <x:c r="O15" s="2" t="str">
        <x:v>n.a.</x:v>
      </x:c>
      <x:c r="P15" s="8" t="n">
        <x:f>'Base Case'!P15</x:f>
        <x:v>15.309145833333334</x:v>
      </x:c>
      <x:c r="Q15" s="8" t="n">
        <x:f>'Base Case'!Q15</x:f>
        <x:v>15.914375</x:v>
      </x:c>
      <x:c r="R15" s="8" t="n">
        <x:f>'Base Case'!R15</x:f>
        <x:v>16.550083333333333</x:v>
      </x:c>
      <x:c r="S15" s="8" t="n">
        <x:f>'Base Case'!S15</x:f>
        <x:v>17.251104166666668</x:v>
      </x:c>
      <x:c r="T15" s="8" t="n">
        <x:f>'Base Case'!T15</x:f>
        <x:v>17.949468958333334</x:v>
      </x:c>
      <x:c r="U15" s="8" t="n">
        <x:f>'Base Case'!U15</x:f>
        <x:v>18.60916875</x:v>
      </x:c>
      <x:c r="V15" s="8" t="n">
        <x:f>'Base Case'!V15</x:f>
        <x:v>19.302090833333335</x:v>
      </x:c>
      <x:c r="W15" s="8" t="n">
        <x:f>'Base Case'!W15</x:f>
        <x:v>20.066203541666667</x:v>
      </x:c>
      <x:c r="X15" s="8" t="n">
        <x:f>'Base Case'!X15</x:f>
        <x:v>20.824051475</x:v>
      </x:c>
      <x:c r="Y15" s="8" t="n">
        <x:f>'Base Case'!Y15</x:f>
        <x:v>21.536527250000002</x:v>
      </x:c>
      <x:c r="Z15" s="8" t="n">
        <x:f>'Base Case'!Z15</x:f>
        <x:v>22.284883100000002</x:v>
      </x:c>
      <x:c r="AA15" s="8" t="n">
        <x:f>'Base Case'!AA15</x:f>
        <x:v>23.110124825</x:v>
      </x:c>
    </x:row>
    <x:row r="16" ht="21" customHeight="1">
      <x:c r="A16" s="1"/>
      <x:c r="B16" s="1"/>
      <x:c r="C16" s="27" t="str">
        <x:v>Operating income</x:v>
      </x:c>
      <x:c r="D16" s="28" t="n">
        <x:f>Source!C8</x:f>
        <x:v>33.12</x:v>
      </x:c>
      <x:c r="E16" s="28" t="n">
        <x:f>Source!D8</x:f>
        <x:v>30.36</x:v>
      </x:c>
      <x:c r="F16" s="28" t="n">
        <x:f>Source!E8</x:f>
        <x:v>35.88</x:v>
      </x:c>
      <x:c r="G16" s="28" t="n">
        <x:f>Source!F8</x:f>
        <x:v>38.64</x:v>
      </x:c>
      <x:c r="H16" s="28" t="n">
        <x:f>Source!G8</x:f>
        <x:v>36.8</x:v>
      </x:c>
      <x:c r="I16" s="28" t="n">
        <x:f>Source!H8</x:f>
        <x:v>36.8</x:v>
      </x:c>
      <x:c r="J16" s="28" t="n">
        <x:f>Source!I8</x:f>
        <x:v>41.6</x:v>
      </x:c>
      <x:c r="K16" s="28" t="n">
        <x:f>Source!J8</x:f>
        <x:v>44.8</x:v>
      </x:c>
      <x:c r="L16" s="28" t="n">
        <x:f>Source!K8</x:f>
        <x:v>43.2</x:v>
      </x:c>
      <x:c r="M16" s="28" t="n">
        <x:f>Source!L8</x:f>
        <x:v>41.4</x:v>
      </x:c>
      <x:c r="N16" s="28" t="n">
        <x:f>Source!M8</x:f>
        <x:v>46.8</x:v>
      </x:c>
      <x:c r="O16" s="28" t="n">
        <x:f>Source!N8</x:f>
        <x:v>48.6</x:v>
      </x:c>
      <x:c r="P16" s="29" t="n">
        <x:f>P12-P13</x:f>
        <x:v>33.61835895833334</x:v>
      </x:c>
      <x:c r="Q16" s="29" t="n">
        <x:f>Q12-Q13</x:f>
        <x:v>32.160302083333335</x:v>
      </x:c>
      <x:c r="R16" s="29" t="n">
        <x:f>R12-R13</x:f>
        <x:v>36.94089750000001</x:v>
      </x:c>
      <x:c r="S16" s="29" t="n">
        <x:f>S12-S13</x:f>
        <x:v>39.31970020833337</x:v>
      </x:c>
      <x:c r="T16" s="29" t="n">
        <x:f>T12-T13</x:f>
        <x:v>36.606136264583355</x:v>
      </x:c>
      <x:c r="U16" s="29" t="n">
        <x:f>U12-U13</x:f>
        <x:v>35.01685427083336</x:v>
      </x:c>
      <x:c r="V16" s="29" t="n">
        <x:f>V12-V13</x:f>
        <x:v>40.22770327500004</x:v>
      </x:c>
      <x:c r="W16" s="29" t="n">
        <x:f>W12-W13</x:f>
        <x:v>42.820598227083394</x:v>
      </x:c>
      <x:c r="X16" s="29" t="n">
        <x:f>X12-X13</x:f>
        <x:v>39.49146841574998</x:v>
      </x:c>
      <x:c r="Y16" s="29" t="n">
        <x:f>Y12-Y13</x:f>
        <x:v>37.77504386250004</x:v>
      </x:c>
      <x:c r="Z16" s="29" t="n">
        <x:f>Z12-Z13</x:f>
        <x:v>43.40276078699999</x:v>
      </x:c>
      <x:c r="AA16" s="29" t="n">
        <x:f>AA12-AA13</x:f>
        <x:v>46.20308733525002</x:v>
      </x:c>
    </x:row>
    <x:row r="17" ht="21" customHeight="1">
      <x:c r="A17" s="1"/>
      <x:c r="B17" s="1"/>
      <x:c r="C17" s="1" t="str">
        <x:v>Interest expense</x:v>
      </x:c>
      <x:c r="D17" s="8" t="n">
        <x:f>Source!C9</x:f>
        <x:v>6</x:v>
      </x:c>
      <x:c r="E17" s="8" t="n">
        <x:f>Source!D9</x:f>
        <x:v>5.5</x:v>
      </x:c>
      <x:c r="F17" s="8" t="n">
        <x:f>Source!E9</x:f>
        <x:v>6.5</x:v>
      </x:c>
      <x:c r="G17" s="8" t="n">
        <x:f>Source!F9</x:f>
        <x:v>7</x:v>
      </x:c>
      <x:c r="H17" s="8" t="n">
        <x:f>Source!G9</x:f>
        <x:v>5.06</x:v>
      </x:c>
      <x:c r="I17" s="8" t="n">
        <x:f>Source!H9</x:f>
        <x:v>5.06</x:v>
      </x:c>
      <x:c r="J17" s="8" t="n">
        <x:f>Source!I9</x:f>
        <x:v>5.72</x:v>
      </x:c>
      <x:c r="K17" s="8" t="n">
        <x:f>Source!J9</x:f>
        <x:v>6.16</x:v>
      </x:c>
      <x:c r="L17" s="8" t="n">
        <x:f>Source!K9</x:f>
        <x:v>4.8</x:v>
      </x:c>
      <x:c r="M17" s="8" t="n">
        <x:f>Source!L9</x:f>
        <x:v>4.6</x:v>
      </x:c>
      <x:c r="N17" s="8" t="n">
        <x:f>Source!M9</x:f>
        <x:v>5.2</x:v>
      </x:c>
      <x:c r="O17" s="8" t="n">
        <x:f>Source!N9</x:f>
        <x:v>5.4</x:v>
      </x:c>
      <x:c r="P17" s="20" t="n">
        <x:f>P67*P68/4</x:f>
        <x:v>4.841549295774648</x:v>
      </x:c>
      <x:c r="Q17" s="20" t="n">
        <x:f>Q67*Q68/4</x:f>
        <x:v>4.665492957746479</x:v>
      </x:c>
      <x:c r="R17" s="20" t="n">
        <x:f>R67*R68/4</x:f>
        <x:v>4.48943661971831</x:v>
      </x:c>
      <x:c r="S17" s="20" t="n">
        <x:f>S67*S68/4</x:f>
        <x:v>4.313380281690141</x:v>
      </x:c>
      <x:c r="T17" s="20" t="n">
        <x:f>T67*T68/4</x:f>
        <x:v>4.137323943661972</x:v>
      </x:c>
      <x:c r="U17" s="20" t="n">
        <x:f>U67*U68/4</x:f>
        <x:v>3.961267605633803</x:v>
      </x:c>
      <x:c r="V17" s="20" t="n">
        <x:f>V67*V68/4</x:f>
        <x:v>3.785211267605634</x:v>
      </x:c>
      <x:c r="W17" s="20" t="n">
        <x:f>W67*W68/4</x:f>
        <x:v>3.609154929577465</x:v>
      </x:c>
      <x:c r="X17" s="20" t="n">
        <x:f>X67*X68/4</x:f>
        <x:v>3.433098591549296</x:v>
      </x:c>
      <x:c r="Y17" s="20" t="n">
        <x:f>Y67*Y68/4</x:f>
        <x:v>3.257042253521127</x:v>
      </x:c>
      <x:c r="Z17" s="20" t="n">
        <x:f>Z67*Z68/4</x:f>
        <x:v>3.080985915492958</x:v>
      </x:c>
      <x:c r="AA17" s="20" t="n">
        <x:f>AA67*AA68/4</x:f>
        <x:v>2.904929577464789</x:v>
      </x:c>
    </x:row>
    <x:row r="18" ht="21" customHeight="1">
      <x:c r="A18" s="1"/>
      <x:c r="B18" s="1"/>
      <x:c r="C18" s="1" t="str">
        <x:v>Earnings before tax</x:v>
      </x:c>
      <x:c r="D18" s="8" t="n">
        <x:f>Source!C10</x:f>
        <x:v>27.12</x:v>
      </x:c>
      <x:c r="E18" s="8" t="n">
        <x:f>Source!D10</x:f>
        <x:v>24.86</x:v>
      </x:c>
      <x:c r="F18" s="8" t="n">
        <x:f>Source!E10</x:f>
        <x:v>29.38</x:v>
      </x:c>
      <x:c r="G18" s="8" t="n">
        <x:f>Source!F10</x:f>
        <x:v>31.64</x:v>
      </x:c>
      <x:c r="H18" s="8" t="n">
        <x:f>Source!G10</x:f>
        <x:v>31.74</x:v>
      </x:c>
      <x:c r="I18" s="8" t="n">
        <x:f>Source!H10</x:f>
        <x:v>31.74</x:v>
      </x:c>
      <x:c r="J18" s="8" t="n">
        <x:f>Source!I10</x:f>
        <x:v>35.88</x:v>
      </x:c>
      <x:c r="K18" s="8" t="n">
        <x:f>Source!J10</x:f>
        <x:v>38.64</x:v>
      </x:c>
      <x:c r="L18" s="8" t="n">
        <x:f>Source!K10</x:f>
        <x:v>38.4</x:v>
      </x:c>
      <x:c r="M18" s="8" t="n">
        <x:f>Source!L10</x:f>
        <x:v>36.8</x:v>
      </x:c>
      <x:c r="N18" s="8" t="n">
        <x:f>Source!M10</x:f>
        <x:v>41.6</x:v>
      </x:c>
      <x:c r="O18" s="8" t="n">
        <x:f>Source!N10</x:f>
        <x:v>43.2</x:v>
      </x:c>
      <x:c r="P18" s="20" t="n">
        <x:f>P16-P17</x:f>
        <x:v>28.77680966255869</x:v>
      </x:c>
      <x:c r="Q18" s="20" t="n">
        <x:f>Q16-Q17</x:f>
        <x:v>27.494809125586855</x:v>
      </x:c>
      <x:c r="R18" s="20" t="n">
        <x:f>R16-R17</x:f>
        <x:v>32.4514608802817</x:v>
      </x:c>
      <x:c r="S18" s="20" t="n">
        <x:f>S16-S17</x:f>
        <x:v>35.00631992664323</x:v>
      </x:c>
      <x:c r="T18" s="20" t="n">
        <x:f>T16-T17</x:f>
        <x:v>32.46881232092139</x:v>
      </x:c>
      <x:c r="U18" s="20" t="n">
        <x:f>U16-U17</x:f>
        <x:v>31.05558666519956</x:v>
      </x:c>
      <x:c r="V18" s="20" t="n">
        <x:f>V16-V17</x:f>
        <x:v>36.44249200739441</x:v>
      </x:c>
      <x:c r="W18" s="20" t="n">
        <x:f>W16-W17</x:f>
        <x:v>39.21144329750593</x:v>
      </x:c>
      <x:c r="X18" s="20" t="n">
        <x:f>X16-X17</x:f>
        <x:v>36.05836982420068</x:v>
      </x:c>
      <x:c r="Y18" s="20" t="n">
        <x:f>Y16-Y17</x:f>
        <x:v>34.51800160897891</x:v>
      </x:c>
      <x:c r="Z18" s="20" t="n">
        <x:f>Z16-Z17</x:f>
        <x:v>40.32177487150703</x:v>
      </x:c>
      <x:c r="AA18" s="20" t="n">
        <x:f>AA16-AA17</x:f>
        <x:v>43.298157757785226</x:v>
      </x:c>
    </x:row>
    <x:row r="19" ht="21" customHeight="1">
      <x:c r="A19" s="1"/>
      <x:c r="B19" s="1"/>
      <x:c r="C19" s="1" t="str">
        <x:v>Tax expense</x:v>
      </x:c>
      <x:c r="D19" s="8" t="n">
        <x:f>Source!C11</x:f>
        <x:v>6.72</x:v>
      </x:c>
      <x:c r="E19" s="8" t="n">
        <x:f>Source!D11</x:f>
        <x:v>6.16</x:v>
      </x:c>
      <x:c r="F19" s="8" t="n">
        <x:f>Source!E11</x:f>
        <x:v>7.28</x:v>
      </x:c>
      <x:c r="G19" s="8" t="n">
        <x:f>Source!F11</x:f>
        <x:v>7.84</x:v>
      </x:c>
      <x:c r="H19" s="8" t="n">
        <x:f>Source!G11</x:f>
        <x:v>7.82</x:v>
      </x:c>
      <x:c r="I19" s="8" t="n">
        <x:f>Source!H11</x:f>
        <x:v>7.82</x:v>
      </x:c>
      <x:c r="J19" s="8" t="n">
        <x:f>Source!I11</x:f>
        <x:v>8.84</x:v>
      </x:c>
      <x:c r="K19" s="8" t="n">
        <x:f>Source!J11</x:f>
        <x:v>9.52</x:v>
      </x:c>
      <x:c r="L19" s="8" t="n">
        <x:f>Source!K11</x:f>
        <x:v>9.6</x:v>
      </x:c>
      <x:c r="M19" s="8" t="n">
        <x:f>Source!L11</x:f>
        <x:v>9.2</x:v>
      </x:c>
      <x:c r="N19" s="8" t="n">
        <x:f>Source!M11</x:f>
        <x:v>10.4</x:v>
      </x:c>
      <x:c r="O19" s="8" t="n">
        <x:f>Source!N11</x:f>
        <x:v>10.8</x:v>
      </x:c>
      <x:c r="P19" s="8" t="n">
        <x:f>MAX(P18,0)*Assumptions!D10</x:f>
        <x:v>7.194202415639673</x:v>
      </x:c>
      <x:c r="Q19" s="8" t="n">
        <x:f>MAX(Q18,0)*Assumptions!D10</x:f>
        <x:v>6.873702281396714</x:v>
      </x:c>
      <x:c r="R19" s="8" t="n">
        <x:f>MAX(R18,0)*Assumptions!D10</x:f>
        <x:v>8.112865220070425</x:v>
      </x:c>
      <x:c r="S19" s="8" t="n">
        <x:f>MAX(S18,0)*Assumptions!D10</x:f>
        <x:v>8.751579981660807</x:v>
      </x:c>
      <x:c r="T19" s="8" t="n">
        <x:f>MAX(T18,0)*Assumptions!E10</x:f>
        <x:v>8.117203080230347</x:v>
      </x:c>
      <x:c r="U19" s="8" t="n">
        <x:f>MAX(U18,0)*Assumptions!E10</x:f>
        <x:v>7.76389666629989</x:v>
      </x:c>
      <x:c r="V19" s="8" t="n">
        <x:f>MAX(V18,0)*Assumptions!E10</x:f>
        <x:v>9.110623001848602</x:v>
      </x:c>
      <x:c r="W19" s="8" t="n">
        <x:f>MAX(W18,0)*Assumptions!E10</x:f>
        <x:v>9.802860824376483</x:v>
      </x:c>
      <x:c r="X19" s="8" t="n">
        <x:f>MAX(X18,0)*Assumptions!F10</x:f>
        <x:v>9.01459245605017</x:v>
      </x:c>
      <x:c r="Y19" s="8" t="n">
        <x:f>MAX(Y18,0)*Assumptions!F10</x:f>
        <x:v>8.629500402244728</x:v>
      </x:c>
      <x:c r="Z19" s="8" t="n">
        <x:f>MAX(Z18,0)*Assumptions!F10</x:f>
        <x:v>10.080443717876758</x:v>
      </x:c>
      <x:c r="AA19" s="8" t="n">
        <x:f>MAX(AA18,0)*Assumptions!F10</x:f>
        <x:v>10.824539439446307</x:v>
      </x:c>
    </x:row>
    <x:row r="20" ht="21" customHeight="1">
      <x:c r="A20" s="1"/>
      <x:c r="B20" s="1"/>
      <x:c r="C20" s="27" t="str">
        <x:v>Net income</x:v>
      </x:c>
      <x:c r="D20" s="28" t="n">
        <x:f>Source!C12</x:f>
        <x:v>20.4</x:v>
      </x:c>
      <x:c r="E20" s="28" t="n">
        <x:f>Source!D12</x:f>
        <x:v>18.7</x:v>
      </x:c>
      <x:c r="F20" s="28" t="n">
        <x:f>Source!E12</x:f>
        <x:v>22.1</x:v>
      </x:c>
      <x:c r="G20" s="28" t="n">
        <x:f>Source!F12</x:f>
        <x:v>23.8</x:v>
      </x:c>
      <x:c r="H20" s="28" t="n">
        <x:f>Source!G12</x:f>
        <x:v>23.92</x:v>
      </x:c>
      <x:c r="I20" s="28" t="n">
        <x:f>Source!H12</x:f>
        <x:v>23.92</x:v>
      </x:c>
      <x:c r="J20" s="28" t="n">
        <x:f>Source!I12</x:f>
        <x:v>27.04</x:v>
      </x:c>
      <x:c r="K20" s="28" t="n">
        <x:f>Source!J12</x:f>
        <x:v>29.12</x:v>
      </x:c>
      <x:c r="L20" s="28" t="n">
        <x:f>Source!K12</x:f>
        <x:v>28.8</x:v>
      </x:c>
      <x:c r="M20" s="28" t="n">
        <x:f>Source!L12</x:f>
        <x:v>27.6</x:v>
      </x:c>
      <x:c r="N20" s="28" t="n">
        <x:f>Source!M12</x:f>
        <x:v>31.2</x:v>
      </x:c>
      <x:c r="O20" s="28" t="n">
        <x:f>Source!N12</x:f>
        <x:v>32.4</x:v>
      </x:c>
      <x:c r="P20" s="29" t="n">
        <x:f>P18-P19</x:f>
        <x:v>21.582607246919018</x:v>
      </x:c>
      <x:c r="Q20" s="29" t="n">
        <x:f>Q18-Q19</x:f>
        <x:v>20.62110684419014</x:v>
      </x:c>
      <x:c r="R20" s="29" t="n">
        <x:f>R18-R19</x:f>
        <x:v>24.338595660211276</x:v>
      </x:c>
      <x:c r="S20" s="29" t="n">
        <x:f>S18-S19</x:f>
        <x:v>26.254739944982422</x:v>
      </x:c>
      <x:c r="T20" s="29" t="n">
        <x:f>T18-T19</x:f>
        <x:v>24.35160924069104</x:v>
      </x:c>
      <x:c r="U20" s="29" t="n">
        <x:f>U18-U19</x:f>
        <x:v>23.29168999889967</x:v>
      </x:c>
      <x:c r="V20" s="29" t="n">
        <x:f>V18-V19</x:f>
        <x:v>27.331869005545805</x:v>
      </x:c>
      <x:c r="W20" s="29" t="n">
        <x:f>W18-W19</x:f>
        <x:v>29.40858247312945</x:v>
      </x:c>
      <x:c r="X20" s="29" t="n">
        <x:f>X18-X19</x:f>
        <x:v>27.04377736815051</x:v>
      </x:c>
      <x:c r="Y20" s="29" t="n">
        <x:f>Y18-Y19</x:f>
        <x:v>25.888501206734183</x:v>
      </x:c>
      <x:c r="Z20" s="29" t="n">
        <x:f>Z18-Z19</x:f>
        <x:v>30.241331153630274</x:v>
      </x:c>
      <x:c r="AA20" s="29" t="n">
        <x:f>AA18-AA19</x:f>
        <x:v>32.47361831833892</x:v>
      </x:c>
    </x:row>
    <x:row r="21" ht="21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A22" s="1"/>
      <x:c r="B22" s="1"/>
      <x:c r="C22" s="15" t="str">
        <x:v>Balance sheet</x:v>
      </x:c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  <x:c r="AA22" s="16"/>
    </x:row>
    <x:row r="23" ht="21" customHeight="1">
      <x:c r="A23" s="1"/>
      <x:c r="B23" s="1"/>
      <x:c r="C23" s="1" t="str">
        <x:v>Cash</x:v>
      </x:c>
      <x:c r="D23" s="8" t="n">
        <x:f>Source!C13</x:f>
        <x:v>51</x:v>
      </x:c>
      <x:c r="E23" s="8" t="n">
        <x:f>Source!D13</x:f>
        <x:v>54.825</x:v>
      </x:c>
      <x:c r="F23" s="8" t="n">
        <x:f>Source!E13</x:f>
        <x:v>56.21875</x:v>
      </x:c>
      <x:c r="G23" s="8" t="n">
        <x:f>Source!F13</x:f>
        <x:v>59.8</x:v>
      </x:c>
      <x:c r="H23" s="8" t="n">
        <x:f>Source!G13</x:f>
        <x:v>68.02</x:v>
      </x:c>
      <x:c r="I23" s="8" t="n">
        <x:f>Source!H13</x:f>
        <x:v>97.115</x:v>
      </x:c>
      <x:c r="J23" s="8" t="n">
        <x:f>Source!I13</x:f>
        <x:v>99.33625</x:v>
      </x:c>
      <x:c r="K23" s="8" t="n">
        <x:f>Source!J13</x:f>
        <x:v>130.8</x:v>
      </x:c>
      <x:c r="L23" s="8" t="n">
        <x:f>Source!K13</x:f>
        <x:v>134.4</x:v>
      </x:c>
      <x:c r="M23" s="8" t="n">
        <x:f>Source!L13</x:f>
        <x:v>170.85</x:v>
      </x:c>
      <x:c r="N23" s="8" t="n">
        <x:f>Source!M13</x:f>
        <x:v>173.4375</x:v>
      </x:c>
      <x:c r="O23" s="8" t="n">
        <x:f>Source!N13</x:f>
        <x:v>210.8</x:v>
      </x:c>
      <x:c r="P23" s="20" t="n">
        <x:f>P55</x:f>
        <x:v>247.07247102897034</x:v>
      </x:c>
      <x:c r="Q23" s="20" t="n">
        <x:f>Q55</x:f>
        <x:v>220.75838042531848</x:v>
      </x:c>
      <x:c r="R23" s="20" t="n">
        <x:f>R55</x:f>
        <x:v>203.12659145421898</x:v>
      </x:c>
      <x:c r="S23" s="20" t="n">
        <x:f>S55</x:f>
        <x:v>183.0142332711821</x:v>
      </x:c>
      <x:c r="T23" s="20" t="n">
        <x:f>T55</x:f>
        <x:v>233.83067989532717</x:v>
      </x:c>
      <x:c r="U23" s="20" t="n">
        <x:f>U55</x:f>
        <x:v>210.69264357351497</x:v>
      </x:c>
      <x:c r="V23" s="20" t="n">
        <x:f>V55</x:f>
        <x:v>194.66429333093205</x:v>
      </x:c>
      <x:c r="W23" s="20" t="n">
        <x:f>W55</x:f>
        <x:v>175.92023884452044</x:v>
      </x:c>
      <x:c r="X23" s="20" t="n">
        <x:f>X55</x:f>
        <x:v>236.59574083438594</x:v>
      </x:c>
      <x:c r="Y23" s="20" t="n">
        <x:f>Y55</x:f>
        <x:v>214.7787626147513</x:v>
      </x:c>
      <x:c r="Z23" s="20" t="n">
        <x:f>Z55</x:f>
        <x:v>200.62968198040252</x:v>
      </x:c>
      <x:c r="AA23" s="20" t="n">
        <x:f>AA55</x:f>
        <x:v>183.5370773824371</x:v>
      </x:c>
    </x:row>
    <x:row r="24" ht="21" customHeight="1">
      <x:c r="A24" s="1"/>
      <x:c r="B24" s="1"/>
      <x:c r="C24" s="1" t="str">
        <x:v>Accounts receivable</x:v>
      </x:c>
      <x:c r="D24" s="8" t="n">
        <x:f>Source!C14</x:f>
        <x:v>93.5</x:v>
      </x:c>
      <x:c r="E24" s="8" t="n">
        <x:f>Source!D14</x:f>
        <x:v>100.1</x:v>
      </x:c>
      <x:c r="F24" s="8" t="n">
        <x:f>Source!E14</x:f>
        <x:v>103.4</x:v>
      </x:c>
      <x:c r="G24" s="8" t="n">
        <x:f>Source!F14</x:f>
        <x:v>110</x:v>
      </x:c>
      <x:c r="H24" s="8" t="n">
        <x:f>Source!G14</x:f>
        <x:v>111.8</x:v>
      </x:c>
      <x:c r="I24" s="8" t="n">
        <x:f>Source!H14</x:f>
        <x:v>119.6</x:v>
      </x:c>
      <x:c r="J24" s="8" t="n">
        <x:f>Source!I14</x:f>
        <x:v>123.5</x:v>
      </x:c>
      <x:c r="K24" s="8" t="n">
        <x:f>Source!J14</x:f>
        <x:v>130</x:v>
      </x:c>
      <x:c r="L24" s="8" t="n">
        <x:f>Source!K14</x:f>
        <x:v>126</x:v>
      </x:c>
      <x:c r="M24" s="8" t="n">
        <x:f>Source!L14</x:f>
        <x:v>136.5</x:v>
      </x:c>
      <x:c r="N24" s="8" t="n">
        <x:f>Source!M14</x:f>
        <x:v>142.5</x:v>
      </x:c>
      <x:c r="O24" s="8" t="n">
        <x:f>Source!N14</x:f>
        <x:v>150</x:v>
      </x:c>
      <x:c r="P24" s="20" t="n">
        <x:f>P10/P6*P76</x:f>
        <x:v>131.208</x:v>
      </x:c>
      <x:c r="Q24" s="20" t="n">
        <x:f>Q10/Q6*Q76</x:f>
        <x:v>141.99191438127087</x:v>
      </x:c>
      <x:c r="R24" s="20" t="n">
        <x:f>R10/R6*R76</x:f>
        <x:v>151.2773804347826</x:v>
      </x:c>
      <x:c r="S24" s="20" t="n">
        <x:f>S10/S6*S76</x:f>
        <x:v>162.98207789855073</x:v>
      </x:c>
      <x:c r="T24" s="20" t="n">
        <x:f>T10/T6*T76</x:f>
        <x:v>144.60579466666672</x:v>
      </x:c>
      <x:c r="U24" s="20" t="n">
        <x:f>U10/U6*U76</x:f>
        <x:v>154.7711866755853</x:v>
      </x:c>
      <x:c r="V24" s="20" t="n">
        <x:f>V10/V6*V76</x:f>
        <x:v>164.89234467391307</x:v>
      </x:c>
      <x:c r="W24" s="20" t="n">
        <x:f>W10/W6*W76</x:f>
        <x:v>177.65046490942032</x:v>
      </x:c>
      <x:c r="X24" s="20" t="n">
        <x:f>X10/X6*X76</x:f>
        <x:v>156.17425824</x:v>
      </x:c>
      <x:c r="Y24" s="20" t="n">
        <x:f>Y10/Y6*Y76</x:f>
        <x:v>167.15288160963212</x:v>
      </x:c>
      <x:c r="Z24" s="20" t="n">
        <x:f>Z10/Z6*Z76</x:f>
        <x:v>178.08373224782608</x:v>
      </x:c>
      <x:c r="AA24" s="20" t="n">
        <x:f>AA10/AA6*AA76</x:f>
        <x:v>191.86250210217392</x:v>
      </x:c>
    </x:row>
    <x:row r="25" ht="21" customHeight="1">
      <x:c r="A25" s="1"/>
      <x:c r="B25" s="1"/>
      <x:c r="C25" s="1" t="str">
        <x:v>Inventory</x:v>
      </x:c>
      <x:c r="D25" s="8" t="n">
        <x:f>Source!C15</x:f>
        <x:v>127.5</x:v>
      </x:c>
      <x:c r="E25" s="8" t="n">
        <x:f>Source!D15</x:f>
        <x:v>136.5</x:v>
      </x:c>
      <x:c r="F25" s="8" t="n">
        <x:f>Source!E15</x:f>
        <x:v>141</x:v>
      </x:c>
      <x:c r="G25" s="8" t="n">
        <x:f>Source!F15</x:f>
        <x:v>150</x:v>
      </x:c>
      <x:c r="H25" s="8" t="n">
        <x:f>Source!G15</x:f>
        <x:v>154.8</x:v>
      </x:c>
      <x:c r="I25" s="8" t="n">
        <x:f>Source!H15</x:f>
        <x:v>165.6</x:v>
      </x:c>
      <x:c r="J25" s="8" t="n">
        <x:f>Source!I15</x:f>
        <x:v>171</x:v>
      </x:c>
      <x:c r="K25" s="8" t="n">
        <x:f>Source!J15</x:f>
        <x:v>180</x:v>
      </x:c>
      <x:c r="L25" s="8" t="n">
        <x:f>Source!K15</x:f>
        <x:v>168</x:v>
      </x:c>
      <x:c r="M25" s="8" t="n">
        <x:f>Source!L15</x:f>
        <x:v>182</x:v>
      </x:c>
      <x:c r="N25" s="8" t="n">
        <x:f>Source!M15</x:f>
        <x:v>190</x:v>
      </x:c>
      <x:c r="O25" s="8" t="n">
        <x:f>Source!N15</x:f>
        <x:v>200</x:v>
      </x:c>
      <x:c r="P25" s="20" t="n">
        <x:f>P11/P6*P77</x:f>
        <x:v>176.88362637362633</x:v>
      </x:c>
      <x:c r="Q25" s="20" t="n">
        <x:f>Q11/Q6*Q77</x:f>
        <x:v>191.62451982799806</x:v>
      </x:c>
      <x:c r="R25" s="20" t="n">
        <x:f>R11/R6*R77</x:f>
        <x:v>204.04760869565217</x:v>
      </x:c>
      <x:c r="S25" s="20" t="n">
        <x:f>S11/S6*S77</x:f>
        <x:v>219.8587801932367</x:v>
      </x:c>
      <x:c r="T25" s="20" t="n">
        <x:f>T11/T6*T77</x:f>
        <x:v>194.94541</x:v>
      </x:c>
      <x:c r="U25" s="20" t="n">
        <x:f>U11/U6*U77</x:f>
        <x:v>208.87072661251793</x:v>
      </x:c>
      <x:c r="V25" s="20" t="n">
        <x:f>V11/V6*V77</x:f>
        <x:v>222.4118934782609</x:v>
      </x:c>
      <x:c r="W25" s="20" t="n">
        <x:f>W11/W6*W77</x:f>
        <x:v>239.646070410628</x:v>
      </x:c>
      <x:c r="X25" s="20" t="n">
        <x:f>X11/X6*X77</x:f>
        <x:v>210.54104279999999</x:v>
      </x:c>
      <x:c r="Y25" s="20" t="n">
        <x:f>Y11/Y6*Y77</x:f>
        <x:v>225.5803847415193</x:v>
      </x:c>
      <x:c r="Z25" s="20" t="n">
        <x:f>Z11/Z6*Z77</x:f>
        <x:v>240.20484495652178</x:v>
      </x:c>
      <x:c r="AA25" s="20" t="n">
        <x:f>AA11/AA6*AA77</x:f>
        <x:v>258.8177560434783</x:v>
      </x:c>
    </x:row>
    <x:row r="26" ht="21" customHeight="1">
      <x:c r="A26" s="1"/>
      <x:c r="B26" s="1"/>
      <x:c r="C26" s="27" t="str">
        <x:v>Total current assets</x:v>
      </x:c>
      <x:c r="D26" s="28" t="n">
        <x:f>Source!C16</x:f>
        <x:v>272</x:v>
      </x:c>
      <x:c r="E26" s="28" t="n">
        <x:f>Source!D16</x:f>
        <x:v>291.425</x:v>
      </x:c>
      <x:c r="F26" s="28" t="n">
        <x:f>Source!E16</x:f>
        <x:v>300.61875</x:v>
      </x:c>
      <x:c r="G26" s="28" t="n">
        <x:f>Source!F16</x:f>
        <x:v>319.8</x:v>
      </x:c>
      <x:c r="H26" s="28" t="n">
        <x:f>Source!G16</x:f>
        <x:v>334.62</x:v>
      </x:c>
      <x:c r="I26" s="28" t="n">
        <x:f>Source!H16</x:f>
        <x:v>382.315</x:v>
      </x:c>
      <x:c r="J26" s="28" t="n">
        <x:f>Source!I16</x:f>
        <x:v>393.83625</x:v>
      </x:c>
      <x:c r="K26" s="28" t="n">
        <x:f>Source!J16</x:f>
        <x:v>440.8</x:v>
      </x:c>
      <x:c r="L26" s="28" t="n">
        <x:f>Source!K16</x:f>
        <x:v>428.4</x:v>
      </x:c>
      <x:c r="M26" s="28" t="n">
        <x:f>Source!L16</x:f>
        <x:v>489.35</x:v>
      </x:c>
      <x:c r="N26" s="28" t="n">
        <x:f>Source!M16</x:f>
        <x:v>505.9375</x:v>
      </x:c>
      <x:c r="O26" s="28" t="n">
        <x:f>Source!N16</x:f>
        <x:v>560.8</x:v>
      </x:c>
      <x:c r="P26" s="29" t="n">
        <x:f>SUM(P23:P25)</x:f>
        <x:v>555.1640974025967</x:v>
      </x:c>
      <x:c r="Q26" s="29" t="n">
        <x:f>SUM(Q23:Q25)</x:f>
        <x:v>554.3748146345874</x:v>
      </x:c>
      <x:c r="R26" s="29" t="n">
        <x:f>SUM(R23:R25)</x:f>
        <x:v>558.4515805846538</x:v>
      </x:c>
      <x:c r="S26" s="29" t="n">
        <x:f>SUM(S23:S25)</x:f>
        <x:v>565.8550913629696</x:v>
      </x:c>
      <x:c r="T26" s="29" t="n">
        <x:f>SUM(T23:T25)</x:f>
        <x:v>573.381884561994</x:v>
      </x:c>
      <x:c r="U26" s="29" t="n">
        <x:f>SUM(U23:U25)</x:f>
        <x:v>574.3345568616182</x:v>
      </x:c>
      <x:c r="V26" s="29" t="n">
        <x:f>SUM(V23:V25)</x:f>
        <x:v>581.9685314831061</x:v>
      </x:c>
      <x:c r="W26" s="29" t="n">
        <x:f>SUM(W23:W25)</x:f>
        <x:v>593.2167741645687</x:v>
      </x:c>
      <x:c r="X26" s="29" t="n">
        <x:f>SUM(X23:X25)</x:f>
        <x:v>603.311041874386</x:v>
      </x:c>
      <x:c r="Y26" s="29" t="n">
        <x:f>SUM(Y23:Y25)</x:f>
        <x:v>607.5120289659027</x:v>
      </x:c>
      <x:c r="Z26" s="29" t="n">
        <x:f>SUM(Z23:Z25)</x:f>
        <x:v>618.9182591847504</x:v>
      </x:c>
      <x:c r="AA26" s="29" t="n">
        <x:f>SUM(AA23:AA25)</x:f>
        <x:v>634.2173355280893</x:v>
      </x:c>
    </x:row>
    <x:row r="27" ht="21" customHeight="1">
      <x:c r="A27" s="1"/>
      <x:c r="B27" s="1"/>
      <x:c r="C27" s="1" t="str">
        <x:v>Net property, plant and equipment</x:v>
      </x:c>
      <x:c r="D27" s="8" t="n">
        <x:f>Source!C17</x:f>
        <x:v>425</x:v>
      </x:c>
      <x:c r="E27" s="8" t="n">
        <x:f>Source!D17</x:f>
        <x:v>455</x:v>
      </x:c>
      <x:c r="F27" s="8" t="n">
        <x:f>Source!E17</x:f>
        <x:v>470</x:v>
      </x:c>
      <x:c r="G27" s="8" t="n">
        <x:f>Source!F17</x:f>
        <x:v>500</x:v>
      </x:c>
      <x:c r="H27" s="8" t="n">
        <x:f>Source!G17</x:f>
        <x:v>473</x:v>
      </x:c>
      <x:c r="I27" s="8" t="n">
        <x:f>Source!H17</x:f>
        <x:v>506</x:v>
      </x:c>
      <x:c r="J27" s="8" t="n">
        <x:f>Source!I17</x:f>
        <x:v>522.5</x:v>
      </x:c>
      <x:c r="K27" s="8" t="n">
        <x:f>Source!J17</x:f>
        <x:v>550</x:v>
      </x:c>
      <x:c r="L27" s="8" t="n">
        <x:f>Source!K17</x:f>
        <x:v>504</x:v>
      </x:c>
      <x:c r="M27" s="8" t="n">
        <x:f>Source!L17</x:f>
        <x:v>546</x:v>
      </x:c>
      <x:c r="N27" s="8" t="n">
        <x:f>Source!M17</x:f>
        <x:v>570</x:v>
      </x:c>
      <x:c r="O27" s="8" t="n">
        <x:f>Source!N17</x:f>
        <x:v>600</x:v>
      </x:c>
      <x:c r="P27" s="8" t="n">
        <x:f>'Base Case'!P27</x:f>
        <x:v>609.4225208333334</x:v>
      </x:c>
      <x:c r="Q27" s="8" t="n">
        <x:f>'Base Case'!Q27</x:f>
        <x:v>617.1948125</x:v>
      </x:c>
      <x:c r="R27" s="8" t="n">
        <x:f>'Base Case'!R27</x:f>
        <x:v>627.8147291666667</x:v>
      </x:c>
      <x:c r="S27" s="8" t="n">
        <x:f>'Base Case'!S27</x:f>
        <x:v>639.4752916666666</x:v>
      </x:c>
      <x:c r="T27" s="8" t="n">
        <x:f>'Base Case'!T27</x:f>
        <x:v>648.483339375</x:v>
      </x:c>
      <x:c r="U27" s="8" t="n">
        <x:f>'Base Case'!U27</x:f>
        <x:v>655.6926372916668</x:v>
      </x:c>
      <x:c r="V27" s="8" t="n">
        <x:f>'Base Case'!V27</x:f>
        <x:v>666.0058464583335</x:v>
      </x:c>
      <x:c r="W27" s="8" t="n">
        <x:f>'Base Case'!W27</x:f>
        <x:v>677.4533595833335</x:v>
      </x:c>
      <x:c r="X27" s="8" t="n">
        <x:f>'Base Case'!X27</x:f>
        <x:v>685.7434261083334</x:v>
      </x:c>
      <x:c r="Y27" s="8" t="n">
        <x:f>'Base Case'!Y27</x:f>
        <x:v>692.0908428583335</x:v>
      </x:c>
      <x:c r="Z27" s="8" t="n">
        <x:f>'Base Case'!Z27</x:f>
        <x:v>701.7904837583335</x:v>
      </x:c>
      <x:c r="AA27" s="8" t="n">
        <x:f>'Base Case'!AA27</x:f>
        <x:v>712.7151729333335</x:v>
      </x:c>
    </x:row>
    <x:row r="28" ht="21" customHeight="1">
      <x:c r="A28" s="1"/>
      <x:c r="B28" s="1"/>
      <x:c r="C28" s="27" t="str">
        <x:v>Total assets</x:v>
      </x:c>
      <x:c r="D28" s="28" t="n">
        <x:f>Source!C18</x:f>
        <x:v>697</x:v>
      </x:c>
      <x:c r="E28" s="28" t="n">
        <x:f>Source!D18</x:f>
        <x:v>746.425</x:v>
      </x:c>
      <x:c r="F28" s="28" t="n">
        <x:f>Source!E18</x:f>
        <x:v>770.61875</x:v>
      </x:c>
      <x:c r="G28" s="28" t="n">
        <x:f>Source!F18</x:f>
        <x:v>819.8</x:v>
      </x:c>
      <x:c r="H28" s="28" t="n">
        <x:f>Source!G18</x:f>
        <x:v>807.62</x:v>
      </x:c>
      <x:c r="I28" s="28" t="n">
        <x:f>Source!H18</x:f>
        <x:v>888.315</x:v>
      </x:c>
      <x:c r="J28" s="28" t="n">
        <x:f>Source!I18</x:f>
        <x:v>916.33625</x:v>
      </x:c>
      <x:c r="K28" s="28" t="n">
        <x:f>Source!J18</x:f>
        <x:v>990.8</x:v>
      </x:c>
      <x:c r="L28" s="28" t="n">
        <x:f>Source!K18</x:f>
        <x:v>932.4</x:v>
      </x:c>
      <x:c r="M28" s="28" t="n">
        <x:f>Source!L18</x:f>
        <x:v>1035.35</x:v>
      </x:c>
      <x:c r="N28" s="28" t="n">
        <x:f>Source!M18</x:f>
        <x:v>1075.9375</x:v>
      </x:c>
      <x:c r="O28" s="28" t="n">
        <x:f>Source!N18</x:f>
        <x:v>1160.8</x:v>
      </x:c>
      <x:c r="P28" s="29" t="n">
        <x:f>P26+P27</x:f>
        <x:v>1164.58661823593</x:v>
      </x:c>
      <x:c r="Q28" s="29" t="n">
        <x:f>Q26+Q27</x:f>
        <x:v>1171.5696271345873</x:v>
      </x:c>
      <x:c r="R28" s="29" t="n">
        <x:f>R26+R27</x:f>
        <x:v>1186.2663097513205</x:v>
      </x:c>
      <x:c r="S28" s="29" t="n">
        <x:f>S26+S27</x:f>
        <x:v>1205.3303830296363</x:v>
      </x:c>
      <x:c r="T28" s="29" t="n">
        <x:f>T26+T27</x:f>
        <x:v>1221.865223936994</x:v>
      </x:c>
      <x:c r="U28" s="29" t="n">
        <x:f>U26+U27</x:f>
        <x:v>1230.027194153285</x:v>
      </x:c>
      <x:c r="V28" s="29" t="n">
        <x:f>V26+V27</x:f>
        <x:v>1247.9743779414396</x:v>
      </x:c>
      <x:c r="W28" s="29" t="n">
        <x:f>W26+W27</x:f>
        <x:v>1270.6701337479021</x:v>
      </x:c>
      <x:c r="X28" s="29" t="n">
        <x:f>X26+X27</x:f>
        <x:v>1289.0544679827194</x:v>
      </x:c>
      <x:c r="Y28" s="29" t="n">
        <x:f>Y26+Y27</x:f>
        <x:v>1299.6028718242362</x:v>
      </x:c>
      <x:c r="Z28" s="29" t="n">
        <x:f>Z26+Z27</x:f>
        <x:v>1320.708742943084</x:v>
      </x:c>
      <x:c r="AA28" s="29" t="n">
        <x:f>AA26+AA27</x:f>
        <x:v>1346.932508461423</x:v>
      </x:c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1" customHeight="1">
      <x:c r="A30" s="1"/>
      <x:c r="B30" s="1"/>
      <x:c r="C30" s="1" t="str">
        <x:v>Accounts payable</x:v>
      </x:c>
      <x:c r="D30" s="8" t="n">
        <x:f>Source!C20</x:f>
        <x:v>76.8</x:v>
      </x:c>
      <x:c r="E30" s="8" t="n">
        <x:f>Source!D20</x:f>
        <x:v>81.6</x:v>
      </x:c>
      <x:c r="F30" s="8" t="n">
        <x:f>Source!E20</x:f>
        <x:v>79.2</x:v>
      </x:c>
      <x:c r="G30" s="8" t="n">
        <x:f>Source!F20</x:f>
        <x:v>80</x:v>
      </x:c>
      <x:c r="H30" s="8" t="n">
        <x:f>Source!G20</x:f>
        <x:v>102</x:v>
      </x:c>
      <x:c r="I30" s="8" t="n">
        <x:f>Source!H20</x:f>
        <x:v>98</x:v>
      </x:c>
      <x:c r="J30" s="8" t="n">
        <x:f>Source!I20</x:f>
        <x:v>101</x:v>
      </x:c>
      <x:c r="K30" s="8" t="n">
        <x:f>Source!J20</x:f>
        <x:v>100</x:v>
      </x:c>
      <x:c r="L30" s="8" t="n">
        <x:f>Source!K20</x:f>
        <x:v>118.8</x:v>
      </x:c>
      <x:c r="M30" s="8" t="n">
        <x:f>Source!L20</x:f>
        <x:v>116.4</x:v>
      </x:c>
      <x:c r="N30" s="8" t="n">
        <x:f>Source!M20</x:f>
        <x:v>117.6</x:v>
      </x:c>
      <x:c r="O30" s="8" t="n">
        <x:f>Source!N20</x:f>
        <x:v>120</x:v>
      </x:c>
      <x:c r="P30" s="20" t="n">
        <x:f>P11/P6*P78</x:f>
        <x:v>114.70401098901097</x:v>
      </x:c>
      <x:c r="Q30" s="20" t="n">
        <x:f>Q11/Q6*Q78</x:f>
        <x:v>113.56591304347825</x:v>
      </x:c>
      <x:c r="R30" s="20" t="n">
        <x:f>R11/R6*R78</x:f>
        <x:v>116.42399999999999</x:v>
      </x:c>
      <x:c r="S30" s="20" t="n">
        <x:f>S11/S6*S78</x:f>
        <x:v>121.73333333333332</x:v>
      </x:c>
      <x:c r="T30" s="20" t="n">
        <x:f>T11/T6*T78</x:f>
        <x:v>126.416565</x:v>
      </x:c>
      <x:c r="U30" s="20" t="n">
        <x:f>U11/U6*U78</x:f>
        <x:v>123.78684521739132</x:v>
      </x:c>
      <x:c r="V30" s="20" t="n">
        <x:f>V11/V6*V78</x:f>
        <x:v>126.90216000000002</x:v>
      </x:c>
      <x:c r="W30" s="20" t="n">
        <x:f>W11/W6*W78</x:f>
        <x:v>132.6893333333333</x:v>
      </x:c>
      <x:c r="X30" s="20" t="n">
        <x:f>X11/X6*X78</x:f>
        <x:v>136.52989019999998</x:v>
      </x:c>
      <x:c r="Y30" s="20" t="n">
        <x:f>Y11/Y6*Y78</x:f>
        <x:v>133.6897928347826</x:v>
      </x:c>
      <x:c r="Z30" s="20" t="n">
        <x:f>Z11/Z6*Z78</x:f>
        <x:v>137.0543328</x:v>
      </x:c>
      <x:c r="AA30" s="20" t="n">
        <x:f>AA11/AA6*AA78</x:f>
        <x:v>143.30448000000004</x:v>
      </x:c>
    </x:row>
    <x:row r="31" ht="21" customHeight="1">
      <x:c r="A31" s="1"/>
      <x:c r="B31" s="1"/>
      <x:c r="C31" s="1" t="str">
        <x:v>Current portion of debt</x:v>
      </x:c>
      <x:c r="D31" s="8" t="n">
        <x:f>Source!C21</x:f>
        <x:v>25.5</x:v>
      </x:c>
      <x:c r="E31" s="8" t="n">
        <x:f>Source!D21</x:f>
        <x:v>27.3</x:v>
      </x:c>
      <x:c r="F31" s="8" t="n">
        <x:f>Source!E21</x:f>
        <x:v>28.2</x:v>
      </x:c>
      <x:c r="G31" s="8" t="n">
        <x:f>Source!F21</x:f>
        <x:v>30</x:v>
      </x:c>
      <x:c r="H31" s="8" t="n">
        <x:f>Source!G21</x:f>
        <x:v>34.4</x:v>
      </x:c>
      <x:c r="I31" s="8" t="n">
        <x:f>Source!H21</x:f>
        <x:v>36.8</x:v>
      </x:c>
      <x:c r="J31" s="8" t="n">
        <x:f>Source!I21</x:f>
        <x:v>38</x:v>
      </x:c>
      <x:c r="K31" s="8" t="n">
        <x:f>Source!J21</x:f>
        <x:v>40</x:v>
      </x:c>
      <x:c r="L31" s="8" t="n">
        <x:f>Source!K21</x:f>
        <x:v>42</x:v>
      </x:c>
      <x:c r="M31" s="8" t="n">
        <x:f>Source!L21</x:f>
        <x:v>45.5</x:v>
      </x:c>
      <x:c r="N31" s="8" t="n">
        <x:f>Source!M21</x:f>
        <x:v>47.5</x:v>
      </x:c>
      <x:c r="O31" s="8" t="n">
        <x:f>Source!N21</x:f>
        <x:v>50</x:v>
      </x:c>
      <x:c r="P31" s="8" t="n">
        <x:f>MIN(P66,Assumptions!D12)</x:f>
        <x:v>50</x:v>
      </x:c>
      <x:c r="Q31" s="8" t="n">
        <x:f>MIN(Q66,Assumptions!D12)</x:f>
        <x:v>50</x:v>
      </x:c>
      <x:c r="R31" s="8" t="n">
        <x:f>MIN(R66,Assumptions!D12)</x:f>
        <x:v>50</x:v>
      </x:c>
      <x:c r="S31" s="8" t="n">
        <x:f>MIN(S66,Assumptions!D12)</x:f>
        <x:v>50</x:v>
      </x:c>
      <x:c r="T31" s="8" t="n">
        <x:f>MIN(T66,Assumptions!E12)</x:f>
        <x:v>50</x:v>
      </x:c>
      <x:c r="U31" s="8" t="n">
        <x:f>MIN(U66,Assumptions!E12)</x:f>
        <x:v>50</x:v>
      </x:c>
      <x:c r="V31" s="8" t="n">
        <x:f>MIN(V66,Assumptions!E12)</x:f>
        <x:v>50</x:v>
      </x:c>
      <x:c r="W31" s="8" t="n">
        <x:f>MIN(W66,Assumptions!E12)</x:f>
        <x:v>50</x:v>
      </x:c>
      <x:c r="X31" s="8" t="n">
        <x:f>MIN(X66,Assumptions!F12)</x:f>
        <x:v>50</x:v>
      </x:c>
      <x:c r="Y31" s="8" t="n">
        <x:f>MIN(Y66,Assumptions!F12)</x:f>
        <x:v>50</x:v>
      </x:c>
      <x:c r="Z31" s="8" t="n">
        <x:f>MIN(Z66,Assumptions!F12)</x:f>
        <x:v>50</x:v>
      </x:c>
      <x:c r="AA31" s="8" t="n">
        <x:f>MIN(AA66,Assumptions!F12)</x:f>
        <x:v>50</x:v>
      </x:c>
    </x:row>
    <x:row r="32" ht="21" customHeight="1">
      <x:c r="A32" s="1"/>
      <x:c r="B32" s="1"/>
      <x:c r="C32" s="27" t="str">
        <x:v>Total current liabilities</x:v>
      </x:c>
      <x:c r="D32" s="28" t="n">
        <x:f>Source!C22</x:f>
        <x:v>102.3</x:v>
      </x:c>
      <x:c r="E32" s="28" t="n">
        <x:f>Source!D22</x:f>
        <x:v>108.9</x:v>
      </x:c>
      <x:c r="F32" s="28" t="n">
        <x:f>Source!E22</x:f>
        <x:v>107.4</x:v>
      </x:c>
      <x:c r="G32" s="28" t="n">
        <x:f>Source!F22</x:f>
        <x:v>110</x:v>
      </x:c>
      <x:c r="H32" s="28" t="n">
        <x:f>Source!G22</x:f>
        <x:v>136.4</x:v>
      </x:c>
      <x:c r="I32" s="28" t="n">
        <x:f>Source!H22</x:f>
        <x:v>134.8</x:v>
      </x:c>
      <x:c r="J32" s="28" t="n">
        <x:f>Source!I22</x:f>
        <x:v>139</x:v>
      </x:c>
      <x:c r="K32" s="28" t="n">
        <x:f>Source!J22</x:f>
        <x:v>140</x:v>
      </x:c>
      <x:c r="L32" s="28" t="n">
        <x:f>Source!K22</x:f>
        <x:v>160.8</x:v>
      </x:c>
      <x:c r="M32" s="28" t="n">
        <x:f>Source!L22</x:f>
        <x:v>161.9</x:v>
      </x:c>
      <x:c r="N32" s="28" t="n">
        <x:f>Source!M22</x:f>
        <x:v>165.1</x:v>
      </x:c>
      <x:c r="O32" s="28" t="n">
        <x:f>Source!N22</x:f>
        <x:v>170</x:v>
      </x:c>
      <x:c r="P32" s="29" t="n">
        <x:f>SUM(P30:P31)</x:f>
        <x:v>164.70401098901095</x:v>
      </x:c>
      <x:c r="Q32" s="29" t="n">
        <x:f>SUM(Q30:Q31)</x:f>
        <x:v>163.56591304347825</x:v>
      </x:c>
      <x:c r="R32" s="29" t="n">
        <x:f>SUM(R30:R31)</x:f>
        <x:v>166.42399999999998</x:v>
      </x:c>
      <x:c r="S32" s="29" t="n">
        <x:f>SUM(S30:S31)</x:f>
        <x:v>171.73333333333332</x:v>
      </x:c>
      <x:c r="T32" s="29" t="n">
        <x:f>SUM(T30:T31)</x:f>
        <x:v>176.416565</x:v>
      </x:c>
      <x:c r="U32" s="29" t="n">
        <x:f>SUM(U30:U31)</x:f>
        <x:v>173.78684521739132</x:v>
      </x:c>
      <x:c r="V32" s="29" t="n">
        <x:f>SUM(V30:V31)</x:f>
        <x:v>176.90216000000004</x:v>
      </x:c>
      <x:c r="W32" s="29" t="n">
        <x:f>SUM(W30:W31)</x:f>
        <x:v>182.6893333333333</x:v>
      </x:c>
      <x:c r="X32" s="29" t="n">
        <x:f>SUM(X30:X31)</x:f>
        <x:v>186.52989019999998</x:v>
      </x:c>
      <x:c r="Y32" s="29" t="n">
        <x:f>SUM(Y30:Y31)</x:f>
        <x:v>183.6897928347826</x:v>
      </x:c>
      <x:c r="Z32" s="29" t="n">
        <x:f>SUM(Z30:Z31)</x:f>
        <x:v>187.0543328</x:v>
      </x:c>
      <x:c r="AA32" s="29" t="n">
        <x:f>SUM(AA30:AA31)</x:f>
        <x:v>193.30448000000004</x:v>
      </x:c>
    </x:row>
    <x:row r="33" ht="21" customHeight="1">
      <x:c r="A33" s="1"/>
      <x:c r="B33" s="1"/>
      <x:c r="C33" s="1" t="str">
        <x:v>Long-term debt</x:v>
      </x:c>
      <x:c r="D33" s="8" t="n">
        <x:f>Source!C23</x:f>
        <x:v>357.5</x:v>
      </x:c>
      <x:c r="E33" s="8" t="n">
        <x:f>Source!D23</x:f>
        <x:v>355.625</x:v>
      </x:c>
      <x:c r="F33" s="8" t="n">
        <x:f>Source!E23</x:f>
        <x:v>354.21875</x:v>
      </x:c>
      <x:c r="G33" s="8" t="n">
        <x:f>Source!F23</x:f>
        <x:v>350</x:v>
      </x:c>
      <x:c r="H33" s="8" t="n">
        <x:f>Source!G23</x:f>
        <x:v>342.5</x:v>
      </x:c>
      <x:c r="I33" s="8" t="n">
        <x:f>Source!H23</x:f>
        <x:v>336.875</x:v>
      </x:c>
      <x:c r="J33" s="8" t="n">
        <x:f>Source!I23</x:f>
        <x:v>332.65625</x:v>
      </x:c>
      <x:c r="K33" s="8" t="n">
        <x:f>Source!J23</x:f>
        <x:v>320</x:v>
      </x:c>
      <x:c r="L33" s="8" t="n">
        <x:f>Source!K23</x:f>
        <x:v>315</x:v>
      </x:c>
      <x:c r="M33" s="8" t="n">
        <x:f>Source!L23</x:f>
        <x:v>311.25</x:v>
      </x:c>
      <x:c r="N33" s="8" t="n">
        <x:f>Source!M23</x:f>
        <x:v>308.4375</x:v>
      </x:c>
      <x:c r="O33" s="8" t="n">
        <x:f>Source!N23</x:f>
        <x:v>300</x:v>
      </x:c>
      <x:c r="P33" s="20" t="n">
        <x:f>P66-P31</x:f>
        <x:v>287.5</x:v>
      </x:c>
      <x:c r="Q33" s="20" t="n">
        <x:f>Q66-Q31</x:f>
        <x:v>275</x:v>
      </x:c>
      <x:c r="R33" s="20" t="n">
        <x:f>R66-R31</x:f>
        <x:v>262.5</x:v>
      </x:c>
      <x:c r="S33" s="20" t="n">
        <x:f>S66-S31</x:f>
        <x:v>250</x:v>
      </x:c>
      <x:c r="T33" s="20" t="n">
        <x:f>T66-T31</x:f>
        <x:v>237.5</x:v>
      </x:c>
      <x:c r="U33" s="20" t="n">
        <x:f>U66-U31</x:f>
        <x:v>225</x:v>
      </x:c>
      <x:c r="V33" s="20" t="n">
        <x:f>V66-V31</x:f>
        <x:v>212.5</x:v>
      </x:c>
      <x:c r="W33" s="20" t="n">
        <x:f>W66-W31</x:f>
        <x:v>200</x:v>
      </x:c>
      <x:c r="X33" s="20" t="n">
        <x:f>X66-X31</x:f>
        <x:v>187.5</x:v>
      </x:c>
      <x:c r="Y33" s="20" t="n">
        <x:f>Y66-Y31</x:f>
        <x:v>175</x:v>
      </x:c>
      <x:c r="Z33" s="20" t="n">
        <x:f>Z66-Z31</x:f>
        <x:v>162.5</x:v>
      </x:c>
      <x:c r="AA33" s="20" t="n">
        <x:f>AA66-AA31</x:f>
        <x:v>150</x:v>
      </x:c>
    </x:row>
    <x:row r="34" ht="21" customHeight="1">
      <x:c r="A34" s="1"/>
      <x:c r="B34" s="1"/>
      <x:c r="C34" s="27" t="str">
        <x:v>Total liabilities</x:v>
      </x:c>
      <x:c r="D34" s="28" t="n">
        <x:f>Source!C24</x:f>
        <x:v>459.8</x:v>
      </x:c>
      <x:c r="E34" s="28" t="n">
        <x:f>Source!D24</x:f>
        <x:v>464.525</x:v>
      </x:c>
      <x:c r="F34" s="28" t="n">
        <x:f>Source!E24</x:f>
        <x:v>461.61875</x:v>
      </x:c>
      <x:c r="G34" s="28" t="n">
        <x:f>Source!F24</x:f>
        <x:v>460</x:v>
      </x:c>
      <x:c r="H34" s="28" t="n">
        <x:f>Source!G24</x:f>
        <x:v>478.9</x:v>
      </x:c>
      <x:c r="I34" s="28" t="n">
        <x:f>Source!H24</x:f>
        <x:v>471.675</x:v>
      </x:c>
      <x:c r="J34" s="28" t="n">
        <x:f>Source!I24</x:f>
        <x:v>471.65625</x:v>
      </x:c>
      <x:c r="K34" s="28" t="n">
        <x:f>Source!J24</x:f>
        <x:v>460</x:v>
      </x:c>
      <x:c r="L34" s="28" t="n">
        <x:f>Source!K24</x:f>
        <x:v>475.8</x:v>
      </x:c>
      <x:c r="M34" s="28" t="n">
        <x:f>Source!L24</x:f>
        <x:v>473.15</x:v>
      </x:c>
      <x:c r="N34" s="28" t="n">
        <x:f>Source!M24</x:f>
        <x:v>473.5375</x:v>
      </x:c>
      <x:c r="O34" s="28" t="n">
        <x:f>Source!N24</x:f>
        <x:v>470</x:v>
      </x:c>
      <x:c r="P34" s="29" t="n">
        <x:f>P32+P33</x:f>
        <x:v>452.20401098901095</x:v>
      </x:c>
      <x:c r="Q34" s="29" t="n">
        <x:f>Q32+Q33</x:f>
        <x:v>438.56591304347825</x:v>
      </x:c>
      <x:c r="R34" s="29" t="n">
        <x:f>R32+R33</x:f>
        <x:v>428.924</x:v>
      </x:c>
      <x:c r="S34" s="29" t="n">
        <x:f>S32+S33</x:f>
        <x:v>421.73333333333335</x:v>
      </x:c>
      <x:c r="T34" s="29" t="n">
        <x:f>T32+T33</x:f>
        <x:v>413.916565</x:v>
      </x:c>
      <x:c r="U34" s="29" t="n">
        <x:f>U32+U33</x:f>
        <x:v>398.7868452173913</x:v>
      </x:c>
      <x:c r="V34" s="29" t="n">
        <x:f>V32+V33</x:f>
        <x:v>389.40216000000004</x:v>
      </x:c>
      <x:c r="W34" s="29" t="n">
        <x:f>W32+W33</x:f>
        <x:v>382.6893333333333</x:v>
      </x:c>
      <x:c r="X34" s="29" t="n">
        <x:f>X32+X33</x:f>
        <x:v>374.02989019999995</x:v>
      </x:c>
      <x:c r="Y34" s="29" t="n">
        <x:f>Y32+Y33</x:f>
        <x:v>358.68979283478257</x:v>
      </x:c>
      <x:c r="Z34" s="29" t="n">
        <x:f>Z32+Z33</x:f>
        <x:v>349.5543328</x:v>
      </x:c>
      <x:c r="AA34" s="29" t="n">
        <x:f>AA32+AA33</x:f>
        <x:v>343.30448</x:v>
      </x:c>
    </x:row>
    <x:row r="35" ht="21" customHeight="1">
      <x:c r="A35" s="1"/>
      <x:c r="B35" s="1"/>
      <x:c r="C35" s="1" t="str">
        <x:v>Common stock</x:v>
      </x:c>
      <x:c r="D35" s="8" t="n">
        <x:f>Source!C25</x:f>
        <x:v>100</x:v>
      </x:c>
      <x:c r="E35" s="8" t="n">
        <x:f>Source!D25</x:f>
        <x:v>126</x:v>
      </x:c>
      <x:c r="F35" s="8" t="n">
        <x:f>Source!E25</x:f>
        <x:v>131</x:v>
      </x:c>
      <x:c r="G35" s="8" t="n">
        <x:f>Source!F25</x:f>
        <x:v>158</x:v>
      </x:c>
      <x:c r="H35" s="8" t="n">
        <x:f>Source!G25</x:f>
        <x:v>103</x:v>
      </x:c>
      <x:c r="I35" s="8" t="n">
        <x:f>Source!H25</x:f>
        <x:v>167</x:v>
      </x:c>
      <x:c r="J35" s="8" t="n">
        <x:f>Source!I25</x:f>
        <x:v>168</x:v>
      </x:c>
      <x:c r="K35" s="8" t="n">
        <x:f>Source!J25</x:f>
        <x:v>225</x:v>
      </x:c>
      <x:c r="L35" s="8" t="n">
        <x:f>Source!K25</x:f>
        <x:v>122</x:v>
      </x:c>
      <x:c r="M35" s="8" t="n">
        <x:f>Source!L25</x:f>
        <x:v>200</x:v>
      </x:c>
      <x:c r="N35" s="8" t="n">
        <x:f>Source!M25</x:f>
        <x:v>209</x:v>
      </x:c>
      <x:c r="O35" s="8" t="n">
        <x:f>Source!N25</x:f>
        <x:v>265</x:v>
      </x:c>
      <x:c r="P35" s="20" t="n">
        <x:f>O35+P50</x:f>
        <x:v>265</x:v>
      </x:c>
      <x:c r="Q35" s="20" t="n">
        <x:f>P35+Q50</x:f>
        <x:v>265</x:v>
      </x:c>
      <x:c r="R35" s="20" t="n">
        <x:f>Q35+R50</x:f>
        <x:v>265</x:v>
      </x:c>
      <x:c r="S35" s="20" t="n">
        <x:f>R35+S50</x:f>
        <x:v>265</x:v>
      </x:c>
      <x:c r="T35" s="20" t="n">
        <x:f>S35+T50</x:f>
        <x:v>265</x:v>
      </x:c>
      <x:c r="U35" s="20" t="n">
        <x:f>T35+U50</x:f>
        <x:v>265</x:v>
      </x:c>
      <x:c r="V35" s="20" t="n">
        <x:f>U35+V50</x:f>
        <x:v>265</x:v>
      </x:c>
      <x:c r="W35" s="20" t="n">
        <x:f>V35+W50</x:f>
        <x:v>265</x:v>
      </x:c>
      <x:c r="X35" s="20" t="n">
        <x:f>W35+X50</x:f>
        <x:v>265</x:v>
      </x:c>
      <x:c r="Y35" s="20" t="n">
        <x:f>X35+Y50</x:f>
        <x:v>265</x:v>
      </x:c>
      <x:c r="Z35" s="20" t="n">
        <x:f>Y35+Z50</x:f>
        <x:v>265</x:v>
      </x:c>
      <x:c r="AA35" s="20" t="n">
        <x:f>Z35+AA50</x:f>
        <x:v>265</x:v>
      </x:c>
    </x:row>
    <x:row r="36" ht="21" customHeight="1">
      <x:c r="A36" s="1"/>
      <x:c r="B36" s="1"/>
      <x:c r="C36" s="1" t="str">
        <x:v>Retained earnings</x:v>
      </x:c>
      <x:c r="D36" s="8" t="n">
        <x:f>Source!C26</x:f>
        <x:v>137.4</x:v>
      </x:c>
      <x:c r="E36" s="8" t="n">
        <x:f>Source!D26</x:f>
        <x:v>156.1</x:v>
      </x:c>
      <x:c r="F36" s="8" t="n">
        <x:f>Source!E26</x:f>
        <x:v>178.2</x:v>
      </x:c>
      <x:c r="G36" s="8" t="n">
        <x:f>Source!F26</x:f>
        <x:v>202</x:v>
      </x:c>
      <x:c r="H36" s="8" t="n">
        <x:f>Source!G26</x:f>
        <x:v>225.92</x:v>
      </x:c>
      <x:c r="I36" s="8" t="n">
        <x:f>Source!H26</x:f>
        <x:v>249.84</x:v>
      </x:c>
      <x:c r="J36" s="8" t="n">
        <x:f>Source!I26</x:f>
        <x:v>276.88</x:v>
      </x:c>
      <x:c r="K36" s="8" t="n">
        <x:f>Source!J26</x:f>
        <x:v>306</x:v>
      </x:c>
      <x:c r="L36" s="8" t="n">
        <x:f>Source!K26</x:f>
        <x:v>334.8</x:v>
      </x:c>
      <x:c r="M36" s="8" t="n">
        <x:f>Source!L26</x:f>
        <x:v>362.4</x:v>
      </x:c>
      <x:c r="N36" s="8" t="n">
        <x:f>Source!M26</x:f>
        <x:v>393.6</x:v>
      </x:c>
      <x:c r="O36" s="8" t="n">
        <x:f>Source!N26</x:f>
        <x:v>426</x:v>
      </x:c>
      <x:c r="P36" s="20" t="n">
        <x:f>O36+P20+P51</x:f>
        <x:v>447.582607246919</x:v>
      </x:c>
      <x:c r="Q36" s="20" t="n">
        <x:f>P36+Q20+Q51</x:f>
        <x:v>468.20371409110913</x:v>
      </x:c>
      <x:c r="R36" s="20" t="n">
        <x:f>Q36+R20+R51</x:f>
        <x:v>492.54230975132043</x:v>
      </x:c>
      <x:c r="S36" s="20" t="n">
        <x:f>R36+S20+S51</x:f>
        <x:v>518.7970496963029</x:v>
      </x:c>
      <x:c r="T36" s="20" t="n">
        <x:f>S36+T20+T51</x:f>
        <x:v>543.1486589369939</x:v>
      </x:c>
      <x:c r="U36" s="20" t="n">
        <x:f>T36+U20+U51</x:f>
        <x:v>566.4403489358936</x:v>
      </x:c>
      <x:c r="V36" s="20" t="n">
        <x:f>U36+V20+V51</x:f>
        <x:v>593.7722179414394</x:v>
      </x:c>
      <x:c r="W36" s="20" t="n">
        <x:f>V36+W20+W51</x:f>
        <x:v>623.1808004145688</x:v>
      </x:c>
      <x:c r="X36" s="20" t="n">
        <x:f>W36+X20+X51</x:f>
        <x:v>650.2245777827193</x:v>
      </x:c>
      <x:c r="Y36" s="20" t="n">
        <x:f>X36+Y20+Y51</x:f>
        <x:v>676.1130789894535</x:v>
      </x:c>
      <x:c r="Z36" s="20" t="n">
        <x:f>Y36+Z20+Z51</x:f>
        <x:v>706.3544101430838</x:v>
      </x:c>
      <x:c r="AA36" s="20" t="n">
        <x:f>Z36+AA20+AA51</x:f>
        <x:v>738.8280284614227</x:v>
      </x:c>
    </x:row>
    <x:row r="37" ht="21" customHeight="1">
      <x:c r="A37" s="1"/>
      <x:c r="B37" s="1"/>
      <x:c r="C37" s="1" t="str">
        <x:v>Unresolved opening equity difference</x:v>
      </x:c>
      <x:c r="D37" s="8" t="n">
        <x:f>Assumptions!$D$31</x:f>
        <x:v>-0.2</x:v>
      </x:c>
      <x:c r="E37" s="8" t="n">
        <x:f>Assumptions!$D$31</x:f>
        <x:v>-0.2</x:v>
      </x:c>
      <x:c r="F37" s="8" t="n">
        <x:f>Assumptions!$D$31</x:f>
        <x:v>-0.2</x:v>
      </x:c>
      <x:c r="G37" s="8" t="n">
        <x:f>Assumptions!$D$31</x:f>
        <x:v>-0.2</x:v>
      </x:c>
      <x:c r="H37" s="8" t="n">
        <x:f>Assumptions!$D$31</x:f>
        <x:v>-0.2</x:v>
      </x:c>
      <x:c r="I37" s="8" t="n">
        <x:f>Assumptions!$D$31</x:f>
        <x:v>-0.2</x:v>
      </x:c>
      <x:c r="J37" s="8" t="n">
        <x:f>Assumptions!$D$31</x:f>
        <x:v>-0.2</x:v>
      </x:c>
      <x:c r="K37" s="8" t="n">
        <x:f>Assumptions!$D$31</x:f>
        <x:v>-0.2</x:v>
      </x:c>
      <x:c r="L37" s="8" t="n">
        <x:f>Assumptions!$D$31</x:f>
        <x:v>-0.2</x:v>
      </x:c>
      <x:c r="M37" s="8" t="n">
        <x:f>Assumptions!$D$31</x:f>
        <x:v>-0.2</x:v>
      </x:c>
      <x:c r="N37" s="8" t="n">
        <x:f>Assumptions!$D$31</x:f>
        <x:v>-0.2</x:v>
      </x:c>
      <x:c r="O37" s="8" t="n">
        <x:f>Assumptions!$D$31</x:f>
        <x:v>-0.2</x:v>
      </x:c>
      <x:c r="P37" s="20" t="n">
        <x:f>O37</x:f>
        <x:v>-0.2</x:v>
      </x:c>
      <x:c r="Q37" s="20" t="n">
        <x:f>P37</x:f>
        <x:v>-0.2</x:v>
      </x:c>
      <x:c r="R37" s="20" t="n">
        <x:f>Q37</x:f>
        <x:v>-0.2</x:v>
      </x:c>
      <x:c r="S37" s="20" t="n">
        <x:f>R37</x:f>
        <x:v>-0.2</x:v>
      </x:c>
      <x:c r="T37" s="20" t="n">
        <x:f>S37</x:f>
        <x:v>-0.2</x:v>
      </x:c>
      <x:c r="U37" s="20" t="n">
        <x:f>T37</x:f>
        <x:v>-0.2</x:v>
      </x:c>
      <x:c r="V37" s="20" t="n">
        <x:f>U37</x:f>
        <x:v>-0.2</x:v>
      </x:c>
      <x:c r="W37" s="20" t="n">
        <x:f>V37</x:f>
        <x:v>-0.2</x:v>
      </x:c>
      <x:c r="X37" s="20" t="n">
        <x:f>W37</x:f>
        <x:v>-0.2</x:v>
      </x:c>
      <x:c r="Y37" s="20" t="n">
        <x:f>X37</x:f>
        <x:v>-0.2</x:v>
      </x:c>
      <x:c r="Z37" s="20" t="n">
        <x:f>Y37</x:f>
        <x:v>-0.2</x:v>
      </x:c>
      <x:c r="AA37" s="20" t="n">
        <x:f>Z37</x:f>
        <x:v>-0.2</x:v>
      </x:c>
    </x:row>
    <x:row r="38" ht="21" customHeight="1">
      <x:c r="A38" s="1"/>
      <x:c r="B38" s="1"/>
      <x:c r="C38" s="27" t="str">
        <x:v>Total liabilities and equity</x:v>
      </x:c>
      <x:c r="D38" s="29" t="n">
        <x:f>SUM(D34:D37)</x:f>
        <x:v>696.9999999999999</x:v>
      </x:c>
      <x:c r="E38" s="29" t="n">
        <x:f>SUM(E34:E37)</x:f>
        <x:v>746.425</x:v>
      </x:c>
      <x:c r="F38" s="29" t="n">
        <x:f>SUM(F34:F37)</x:f>
        <x:v>770.6187499999999</x:v>
      </x:c>
      <x:c r="G38" s="29" t="n">
        <x:f>SUM(G34:G37)</x:f>
        <x:v>819.8</x:v>
      </x:c>
      <x:c r="H38" s="29" t="n">
        <x:f>SUM(H34:H37)</x:f>
        <x:v>807.6199999999999</x:v>
      </x:c>
      <x:c r="I38" s="29" t="n">
        <x:f>SUM(I34:I37)</x:f>
        <x:v>888.3149999999999</x:v>
      </x:c>
      <x:c r="J38" s="29" t="n">
        <x:f>SUM(J34:J37)</x:f>
        <x:v>916.33625</x:v>
      </x:c>
      <x:c r="K38" s="29" t="n">
        <x:f>SUM(K34:K37)</x:f>
        <x:v>990.8</x:v>
      </x:c>
      <x:c r="L38" s="29" t="n">
        <x:f>SUM(L34:L37)</x:f>
        <x:v>932.3999999999999</x:v>
      </x:c>
      <x:c r="M38" s="29" t="n">
        <x:f>SUM(M34:M37)</x:f>
        <x:v>1035.35</x:v>
      </x:c>
      <x:c r="N38" s="29" t="n">
        <x:f>SUM(N34:N37)</x:f>
        <x:v>1075.9375</x:v>
      </x:c>
      <x:c r="O38" s="29" t="n">
        <x:f>SUM(O34:O37)</x:f>
        <x:v>1160.8</x:v>
      </x:c>
      <x:c r="P38" s="29" t="n">
        <x:f>SUM(P34:P37)</x:f>
        <x:v>1164.5866182359298</x:v>
      </x:c>
      <x:c r="Q38" s="29" t="n">
        <x:f>SUM(Q34:Q37)</x:f>
        <x:v>1171.5696271345873</x:v>
      </x:c>
      <x:c r="R38" s="29" t="n">
        <x:f>SUM(R34:R37)</x:f>
        <x:v>1186.2663097513203</x:v>
      </x:c>
      <x:c r="S38" s="29" t="n">
        <x:f>SUM(S34:S37)</x:f>
        <x:v>1205.330383029636</x:v>
      </x:c>
      <x:c r="T38" s="29" t="n">
        <x:f>SUM(T34:T37)</x:f>
        <x:v>1221.8652239369937</x:v>
      </x:c>
      <x:c r="U38" s="29" t="n">
        <x:f>SUM(U34:U37)</x:f>
        <x:v>1230.0271941532849</x:v>
      </x:c>
      <x:c r="V38" s="29" t="n">
        <x:f>SUM(V34:V37)</x:f>
        <x:v>1247.9743779414396</x:v>
      </x:c>
      <x:c r="W38" s="29" t="n">
        <x:f>SUM(W34:W37)</x:f>
        <x:v>1270.670133747902</x:v>
      </x:c>
      <x:c r="X38" s="29" t="n">
        <x:f>SUM(X34:X37)</x:f>
        <x:v>1289.0544679827192</x:v>
      </x:c>
      <x:c r="Y38" s="29" t="n">
        <x:f>SUM(Y34:Y37)</x:f>
        <x:v>1299.602871824236</x:v>
      </x:c>
      <x:c r="Z38" s="29" t="n">
        <x:f>SUM(Z34:Z37)</x:f>
        <x:v>1320.7087429430837</x:v>
      </x:c>
      <x:c r="AA38" s="29" t="n">
        <x:f>SUM(AA34:AA37)</x:f>
        <x:v>1346.9325084614227</x:v>
      </x:c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A40" s="1"/>
      <x:c r="B40" s="1"/>
      <x:c r="C40" s="15" t="str">
        <x:v>Cash flow statement</x:v>
      </x:c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  <x:c r="AA40" s="16"/>
    </x:row>
    <x:row r="41" ht="21" customHeight="1">
      <x:c r="A41" s="1"/>
      <x:c r="B41" s="1"/>
      <x:c r="C41" s="1" t="str">
        <x:v>Net income</x:v>
      </x:c>
      <x:c r="D41" s="8" t="n">
        <x:f>Source!C28</x:f>
        <x:v>20.4</x:v>
      </x:c>
      <x:c r="E41" s="8" t="n">
        <x:f>Source!D28</x:f>
        <x:v>18.7</x:v>
      </x:c>
      <x:c r="F41" s="8" t="n">
        <x:f>Source!E28</x:f>
        <x:v>22.1</x:v>
      </x:c>
      <x:c r="G41" s="8" t="n">
        <x:f>Source!F28</x:f>
        <x:v>23.8</x:v>
      </x:c>
      <x:c r="H41" s="8" t="n">
        <x:f>Source!G28</x:f>
        <x:v>23.92</x:v>
      </x:c>
      <x:c r="I41" s="8" t="n">
        <x:f>Source!H28</x:f>
        <x:v>23.92</x:v>
      </x:c>
      <x:c r="J41" s="8" t="n">
        <x:f>Source!I28</x:f>
        <x:v>27.04</x:v>
      </x:c>
      <x:c r="K41" s="8" t="n">
        <x:f>Source!J28</x:f>
        <x:v>29.12</x:v>
      </x:c>
      <x:c r="L41" s="8" t="n">
        <x:f>Source!K28</x:f>
        <x:v>28.8</x:v>
      </x:c>
      <x:c r="M41" s="8" t="n">
        <x:f>Source!L28</x:f>
        <x:v>27.6</x:v>
      </x:c>
      <x:c r="N41" s="8" t="n">
        <x:f>Source!M28</x:f>
        <x:v>31.2</x:v>
      </x:c>
      <x:c r="O41" s="8" t="n">
        <x:f>Source!N28</x:f>
        <x:v>32.4</x:v>
      </x:c>
      <x:c r="P41" s="20" t="n">
        <x:f>P20</x:f>
        <x:v>21.582607246919018</x:v>
      </x:c>
      <x:c r="Q41" s="20" t="n">
        <x:f>Q20</x:f>
        <x:v>20.62110684419014</x:v>
      </x:c>
      <x:c r="R41" s="20" t="n">
        <x:f>R20</x:f>
        <x:v>24.338595660211276</x:v>
      </x:c>
      <x:c r="S41" s="20" t="n">
        <x:f>S20</x:f>
        <x:v>26.254739944982422</x:v>
      </x:c>
      <x:c r="T41" s="20" t="n">
        <x:f>T20</x:f>
        <x:v>24.35160924069104</x:v>
      </x:c>
      <x:c r="U41" s="20" t="n">
        <x:f>U20</x:f>
        <x:v>23.29168999889967</x:v>
      </x:c>
      <x:c r="V41" s="20" t="n">
        <x:f>V20</x:f>
        <x:v>27.331869005545805</x:v>
      </x:c>
      <x:c r="W41" s="20" t="n">
        <x:f>W20</x:f>
        <x:v>29.40858247312945</x:v>
      </x:c>
      <x:c r="X41" s="20" t="n">
        <x:f>X20</x:f>
        <x:v>27.04377736815051</x:v>
      </x:c>
      <x:c r="Y41" s="20" t="n">
        <x:f>Y20</x:f>
        <x:v>25.888501206734183</x:v>
      </x:c>
      <x:c r="Z41" s="20" t="n">
        <x:f>Z20</x:f>
        <x:v>30.241331153630274</x:v>
      </x:c>
      <x:c r="AA41" s="20" t="n">
        <x:f>AA20</x:f>
        <x:v>32.47361831833892</x:v>
      </x:c>
    </x:row>
    <x:row r="42" ht="21" customHeight="1">
      <x:c r="A42" s="1"/>
      <x:c r="B42" s="1"/>
      <x:c r="C42" s="1" t="str">
        <x:v>Reported / modelled noncash add-back</x:v>
      </x:c>
      <x:c r="D42" s="2" t="n">
        <x:v>0</x:v>
      </x:c>
      <x:c r="E42" s="2" t="n">
        <x:v>0</x:v>
      </x:c>
      <x:c r="F42" s="2" t="n">
        <x:v>0</x:v>
      </x:c>
      <x:c r="G42" s="2" t="n">
        <x:v>0</x:v>
      </x:c>
      <x:c r="H42" s="2" t="n">
        <x:v>0</x:v>
      </x:c>
      <x:c r="I42" s="2" t="n">
        <x:v>0</x:v>
      </x:c>
      <x:c r="J42" s="2" t="n">
        <x:v>0</x:v>
      </x:c>
      <x:c r="K42" s="2" t="n">
        <x:v>0</x:v>
      </x:c>
      <x:c r="L42" s="2" t="n">
        <x:v>0</x:v>
      </x:c>
      <x:c r="M42" s="2" t="n">
        <x:v>0</x:v>
      </x:c>
      <x:c r="N42" s="2" t="n">
        <x:v>0</x:v>
      </x:c>
      <x:c r="O42" s="2" t="n">
        <x:v>0</x:v>
      </x:c>
      <x:c r="P42" s="20" t="n">
        <x:f>P15</x:f>
        <x:v>15.309145833333334</x:v>
      </x:c>
      <x:c r="Q42" s="20" t="n">
        <x:f>Q15</x:f>
        <x:v>15.914375</x:v>
      </x:c>
      <x:c r="R42" s="20" t="n">
        <x:f>R15</x:f>
        <x:v>16.550083333333333</x:v>
      </x:c>
      <x:c r="S42" s="20" t="n">
        <x:f>S15</x:f>
        <x:v>17.251104166666668</x:v>
      </x:c>
      <x:c r="T42" s="20" t="n">
        <x:f>T15</x:f>
        <x:v>17.949468958333334</x:v>
      </x:c>
      <x:c r="U42" s="20" t="n">
        <x:f>U15</x:f>
        <x:v>18.60916875</x:v>
      </x:c>
      <x:c r="V42" s="20" t="n">
        <x:f>V15</x:f>
        <x:v>19.302090833333335</x:v>
      </x:c>
      <x:c r="W42" s="20" t="n">
        <x:f>W15</x:f>
        <x:v>20.066203541666667</x:v>
      </x:c>
      <x:c r="X42" s="20" t="n">
        <x:f>X15</x:f>
        <x:v>20.824051475</x:v>
      </x:c>
      <x:c r="Y42" s="20" t="n">
        <x:f>Y15</x:f>
        <x:v>21.536527250000002</x:v>
      </x:c>
      <x:c r="Z42" s="20" t="n">
        <x:f>Z15</x:f>
        <x:v>22.284883100000002</x:v>
      </x:c>
      <x:c r="AA42" s="20" t="n">
        <x:f>AA15</x:f>
        <x:v>23.110124825</x:v>
      </x:c>
    </x:row>
    <x:row r="43" ht="21" customHeight="1">
      <x:c r="A43" s="1"/>
      <x:c r="B43" s="1"/>
      <x:c r="C43" s="1" t="str">
        <x:v>Cash effect of receivables</x:v>
      </x:c>
      <x:c r="D43" s="8" t="n">
        <x:f>Source!C29</x:f>
        <x:v>-1.5</x:v>
      </x:c>
      <x:c r="E43" s="8" t="n">
        <x:f>Source!D29</x:f>
        <x:v>-6.6</x:v>
      </x:c>
      <x:c r="F43" s="8" t="n">
        <x:f>Source!E29</x:f>
        <x:v>-3.3</x:v>
      </x:c>
      <x:c r="G43" s="8" t="n">
        <x:f>Source!F29</x:f>
        <x:v>-6.6</x:v>
      </x:c>
      <x:c r="H43" s="8" t="n">
        <x:f>Source!G29</x:f>
        <x:v>-1.8</x:v>
      </x:c>
      <x:c r="I43" s="8" t="n">
        <x:f>Source!H29</x:f>
        <x:v>-7.8</x:v>
      </x:c>
      <x:c r="J43" s="8" t="n">
        <x:f>Source!I29</x:f>
        <x:v>-3.9</x:v>
      </x:c>
      <x:c r="K43" s="8" t="n">
        <x:f>Source!J29</x:f>
        <x:v>-6.5</x:v>
      </x:c>
      <x:c r="L43" s="8" t="n">
        <x:f>Source!K29</x:f>
        <x:v>4</x:v>
      </x:c>
      <x:c r="M43" s="8" t="n">
        <x:f>Source!L29</x:f>
        <x:v>-10.5</x:v>
      </x:c>
      <x:c r="N43" s="8" t="n">
        <x:f>Source!M29</x:f>
        <x:v>-6</x:v>
      </x:c>
      <x:c r="O43" s="8" t="n">
        <x:f>Source!N29</x:f>
        <x:v>-7.5</x:v>
      </x:c>
      <x:c r="P43" s="20" t="n">
        <x:f>O24-P24</x:f>
        <x:v>18.792</x:v>
      </x:c>
      <x:c r="Q43" s="20" t="n">
        <x:f>P24-Q24</x:f>
        <x:v>-10.783914381270876</x:v>
      </x:c>
      <x:c r="R43" s="20" t="n">
        <x:f>Q24-R24</x:f>
        <x:v>-9.285466053511726</x:v>
      </x:c>
      <x:c r="S43" s="20" t="n">
        <x:f>R24-S24</x:f>
        <x:v>-11.704697463768127</x:v>
      </x:c>
      <x:c r="T43" s="20" t="n">
        <x:f>S24-T24</x:f>
        <x:v>18.376283231884003</x:v>
      </x:c>
      <x:c r="U43" s="20" t="n">
        <x:f>T24-U24</x:f>
        <x:v>-10.165392008918587</x:v>
      </x:c>
      <x:c r="V43" s="20" t="n">
        <x:f>U24-V24</x:f>
        <x:v>-10.12115799832776</x:v>
      </x:c>
      <x:c r="W43" s="20" t="n">
        <x:f>V24-W24</x:f>
        <x:v>-12.75812023550725</x:v>
      </x:c>
      <x:c r="X43" s="20" t="n">
        <x:f>W24-X24</x:f>
        <x:v>21.47620666942032</x:v>
      </x:c>
      <x:c r="Y43" s="20" t="n">
        <x:f>X24-Y24</x:f>
        <x:v>-10.978623369632118</x:v>
      </x:c>
      <x:c r="Z43" s="20" t="n">
        <x:f>Y24-Z24</x:f>
        <x:v>-10.93085063819396</x:v>
      </x:c>
      <x:c r="AA43" s="20" t="n">
        <x:f>Z24-AA24</x:f>
        <x:v>-13.778769854347843</x:v>
      </x:c>
    </x:row>
    <x:row r="44" ht="21" customHeight="1">
      <x:c r="A44" s="1"/>
      <x:c r="B44" s="1"/>
      <x:c r="C44" s="1" t="str">
        <x:v>Cash effect of inventory</x:v>
      </x:c>
      <x:c r="D44" s="8" t="n">
        <x:f>Source!C30</x:f>
        <x:v>-7.5</x:v>
      </x:c>
      <x:c r="E44" s="8" t="n">
        <x:f>Source!D30</x:f>
        <x:v>-9</x:v>
      </x:c>
      <x:c r="F44" s="8" t="n">
        <x:f>Source!E30</x:f>
        <x:v>-4.5</x:v>
      </x:c>
      <x:c r="G44" s="8" t="n">
        <x:f>Source!F30</x:f>
        <x:v>-9</x:v>
      </x:c>
      <x:c r="H44" s="8" t="n">
        <x:f>Source!G30</x:f>
        <x:v>-4.8</x:v>
      </x:c>
      <x:c r="I44" s="8" t="n">
        <x:f>Source!H30</x:f>
        <x:v>-10.8</x:v>
      </x:c>
      <x:c r="J44" s="8" t="n">
        <x:f>Source!I30</x:f>
        <x:v>-5.4</x:v>
      </x:c>
      <x:c r="K44" s="8" t="n">
        <x:f>Source!J30</x:f>
        <x:v>-9</x:v>
      </x:c>
      <x:c r="L44" s="8" t="n">
        <x:f>Source!K30</x:f>
        <x:v>12</x:v>
      </x:c>
      <x:c r="M44" s="8" t="n">
        <x:f>Source!L30</x:f>
        <x:v>-14</x:v>
      </x:c>
      <x:c r="N44" s="8" t="n">
        <x:f>Source!M30</x:f>
        <x:v>-8</x:v>
      </x:c>
      <x:c r="O44" s="8" t="n">
        <x:f>Source!N30</x:f>
        <x:v>-10</x:v>
      </x:c>
      <x:c r="P44" s="20" t="n">
        <x:f>O25-P25</x:f>
        <x:v>23.116373626373672</x:v>
      </x:c>
      <x:c r="Q44" s="20" t="n">
        <x:f>P25-Q25</x:f>
        <x:v>-14.74089345437173</x:v>
      </x:c>
      <x:c r="R44" s="20" t="n">
        <x:f>Q25-R25</x:f>
        <x:v>-12.423088867654116</x:v>
      </x:c>
      <x:c r="S44" s="20" t="n">
        <x:f>R25-S25</x:f>
        <x:v>-15.811171497584525</x:v>
      </x:c>
      <x:c r="T44" s="20" t="n">
        <x:f>S25-T25</x:f>
        <x:v>24.913370193236688</x:v>
      </x:c>
      <x:c r="U44" s="20" t="n">
        <x:f>T25-U25</x:f>
        <x:v>-13.925316612517918</x:v>
      </x:c>
      <x:c r="V44" s="20" t="n">
        <x:f>U25-V25</x:f>
        <x:v>-13.54116686574298</x:v>
      </x:c>
      <x:c r="W44" s="20" t="n">
        <x:f>V25-W25</x:f>
        <x:v>-17.23417693236709</x:v>
      </x:c>
      <x:c r="X44" s="20" t="n">
        <x:f>W25-X25</x:f>
        <x:v>29.105027610628014</x:v>
      </x:c>
      <x:c r="Y44" s="20" t="n">
        <x:f>X25-Y25</x:f>
        <x:v>-15.039341941519325</x:v>
      </x:c>
      <x:c r="Z44" s="20" t="n">
        <x:f>Y25-Z25</x:f>
        <x:v>-14.624460215002472</x:v>
      </x:c>
      <x:c r="AA44" s="20" t="n">
        <x:f>Z25-AA25</x:f>
        <x:v>-18.61291108695653</x:v>
      </x:c>
    </x:row>
    <x:row r="45" ht="21" customHeight="1">
      <x:c r="A45" s="1"/>
      <x:c r="B45" s="1"/>
      <x:c r="C45" s="1" t="str">
        <x:v>Cash effect of payables</x:v>
      </x:c>
      <x:c r="D45" s="8" t="n">
        <x:f>Source!C31</x:f>
        <x:v>24.8</x:v>
      </x:c>
      <x:c r="E45" s="8" t="n">
        <x:f>Source!D31</x:f>
        <x:v>4.8</x:v>
      </x:c>
      <x:c r="F45" s="8" t="n">
        <x:f>Source!E31</x:f>
        <x:v>-2.4</x:v>
      </x:c>
      <x:c r="G45" s="8" t="n">
        <x:f>Source!F31</x:f>
        <x:v>0.8</x:v>
      </x:c>
      <x:c r="H45" s="8" t="n">
        <x:f>Source!G31</x:f>
        <x:v>22</x:v>
      </x:c>
      <x:c r="I45" s="8" t="n">
        <x:f>Source!H31</x:f>
        <x:v>-4</x:v>
      </x:c>
      <x:c r="J45" s="8" t="n">
        <x:f>Source!I31</x:f>
        <x:v>3</x:v>
      </x:c>
      <x:c r="K45" s="8" t="n">
        <x:f>Source!J31</x:f>
        <x:v>-1</x:v>
      </x:c>
      <x:c r="L45" s="8" t="n">
        <x:f>Source!K31</x:f>
        <x:v>18.8</x:v>
      </x:c>
      <x:c r="M45" s="8" t="n">
        <x:f>Source!L31</x:f>
        <x:v>-2.4</x:v>
      </x:c>
      <x:c r="N45" s="8" t="n">
        <x:f>Source!M31</x:f>
        <x:v>1.2</x:v>
      </x:c>
      <x:c r="O45" s="8" t="n">
        <x:f>Source!N31</x:f>
        <x:v>2.4</x:v>
      </x:c>
      <x:c r="P45" s="20" t="n">
        <x:f>P30-O30</x:f>
        <x:v>-5.295989010989032</x:v>
      </x:c>
      <x:c r="Q45" s="20" t="n">
        <x:f>Q30-P30</x:f>
        <x:v>-1.1380979455327207</x:v>
      </x:c>
      <x:c r="R45" s="20" t="n">
        <x:f>R30-Q30</x:f>
        <x:v>2.8580869565217455</x:v>
      </x:c>
      <x:c r="S45" s="20" t="n">
        <x:f>S30-R30</x:f>
        <x:v>5.309333333333328</x:v>
      </x:c>
      <x:c r="T45" s="20" t="n">
        <x:f>T30-S30</x:f>
        <x:v>4.6832316666666856</x:v>
      </x:c>
      <x:c r="U45" s="20" t="n">
        <x:f>U30-T30</x:f>
        <x:v>-2.6297197826086887</x:v>
      </x:c>
      <x:c r="V45" s="20" t="n">
        <x:f>V30-U30</x:f>
        <x:v>3.1153147826087064</x:v>
      </x:c>
      <x:c r="W45" s="20" t="n">
        <x:f>W30-V30</x:f>
        <x:v>5.7871733333332855</x:v>
      </x:c>
      <x:c r="X45" s="20" t="n">
        <x:f>X30-W30</x:f>
        <x:v>3.840556866666674</x:v>
      </x:c>
      <x:c r="Y45" s="20" t="n">
        <x:f>Y30-X30</x:f>
        <x:v>-2.840097365217389</x:v>
      </x:c>
      <x:c r="Z45" s="20" t="n">
        <x:f>Z30-Y30</x:f>
        <x:v>3.3645399652174035</x:v>
      </x:c>
      <x:c r="AA45" s="20" t="n">
        <x:f>AA30-Z30</x:f>
        <x:v>6.250147200000043</x:v>
      </x:c>
    </x:row>
    <x:row r="46" ht="21" customHeight="1">
      <x:c r="A46" s="1"/>
      <x:c r="B46" s="1"/>
      <x:c r="C46" s="27" t="str">
        <x:v>Cash from operations</x:v>
      </x:c>
      <x:c r="D46" s="28" t="n">
        <x:f>Source!C32</x:f>
        <x:v>36.2</x:v>
      </x:c>
      <x:c r="E46" s="28" t="n">
        <x:f>Source!D32</x:f>
        <x:v>7.9</x:v>
      </x:c>
      <x:c r="F46" s="28" t="n">
        <x:f>Source!E32</x:f>
        <x:v>11.9</x:v>
      </x:c>
      <x:c r="G46" s="28" t="n">
        <x:f>Source!F32</x:f>
        <x:v>9</x:v>
      </x:c>
      <x:c r="H46" s="28" t="n">
        <x:f>Source!G32</x:f>
        <x:v>39.32</x:v>
      </x:c>
      <x:c r="I46" s="28" t="n">
        <x:f>Source!H32</x:f>
        <x:v>1.32</x:v>
      </x:c>
      <x:c r="J46" s="28" t="n">
        <x:f>Source!I32</x:f>
        <x:v>20.74</x:v>
      </x:c>
      <x:c r="K46" s="28" t="n">
        <x:f>Source!J32</x:f>
        <x:v>12.62</x:v>
      </x:c>
      <x:c r="L46" s="28" t="n">
        <x:f>Source!K32</x:f>
        <x:v>63.6</x:v>
      </x:c>
      <x:c r="M46" s="28" t="n">
        <x:f>Source!L32</x:f>
        <x:v>0.7</x:v>
      </x:c>
      <x:c r="N46" s="28" t="n">
        <x:f>Source!M32</x:f>
        <x:v>18.4</x:v>
      </x:c>
      <x:c r="O46" s="28" t="n">
        <x:f>Source!N32</x:f>
        <x:v>17.3</x:v>
      </x:c>
      <x:c r="P46" s="29" t="n">
        <x:f>SUM(P41:P45)</x:f>
        <x:v>73.504137695637</x:v>
      </x:c>
      <x:c r="Q46" s="29" t="n">
        <x:f>SUM(Q41:Q45)</x:f>
        <x:v>9.872576063014819</x:v>
      </x:c>
      <x:c r="R46" s="29" t="n">
        <x:f>SUM(R41:R45)</x:f>
        <x:v>22.038211028900513</x:v>
      </x:c>
      <x:c r="S46" s="29" t="n">
        <x:f>SUM(S41:S45)</x:f>
        <x:v>21.299308483629765</x:v>
      </x:c>
      <x:c r="T46" s="29" t="n">
        <x:f>SUM(T41:T45)</x:f>
        <x:v>90.27396329081175</x:v>
      </x:c>
      <x:c r="U46" s="29" t="n">
        <x:f>SUM(U41:U45)</x:f>
        <x:v>15.180430344854472</x:v>
      </x:c>
      <x:c r="V46" s="29" t="n">
        <x:f>SUM(V41:V45)</x:f>
        <x:v>26.086949757417102</x:v>
      </x:c>
      <x:c r="W46" s="29" t="n">
        <x:f>SUM(W41:W45)</x:f>
        <x:v>25.26966218025506</x:v>
      </x:c>
      <x:c r="X46" s="29" t="n">
        <x:f>SUM(X41:X45)</x:f>
        <x:v>102.28961998986551</x:v>
      </x:c>
      <x:c r="Y46" s="29" t="n">
        <x:f>SUM(Y41:Y45)</x:f>
        <x:v>18.56696578036535</x:v>
      </x:c>
      <x:c r="Z46" s="29" t="n">
        <x:f>SUM(Z41:Z45)</x:f>
        <x:v>30.335443365651244</x:v>
      </x:c>
      <x:c r="AA46" s="29" t="n">
        <x:f>SUM(AA41:AA45)</x:f>
        <x:v>29.442209402034592</x:v>
      </x:c>
    </x:row>
    <x:row r="47" ht="21" customHeight="1">
      <x:c r="A47" s="1"/>
      <x:c r="B47" s="1"/>
      <x:c r="C47" s="1" t="str">
        <x:v>Net PP&amp;E investing cash flow</x:v>
      </x:c>
      <x:c r="D47" s="8" t="n">
        <x:f>Source!C33</x:f>
        <x:v>-5</x:v>
      </x:c>
      <x:c r="E47" s="8" t="n">
        <x:f>Source!D33</x:f>
        <x:v>-30</x:v>
      </x:c>
      <x:c r="F47" s="8" t="n">
        <x:f>Source!E33</x:f>
        <x:v>-15</x:v>
      </x:c>
      <x:c r="G47" s="8" t="n">
        <x:f>Source!F33</x:f>
        <x:v>-30</x:v>
      </x:c>
      <x:c r="H47" s="8" t="n">
        <x:f>Source!G33</x:f>
        <x:v>27</x:v>
      </x:c>
      <x:c r="I47" s="8" t="n">
        <x:f>Source!H33</x:f>
        <x:v>-33</x:v>
      </x:c>
      <x:c r="J47" s="8" t="n">
        <x:f>Source!I33</x:f>
        <x:v>-16.5</x:v>
      </x:c>
      <x:c r="K47" s="8" t="n">
        <x:f>Source!J33</x:f>
        <x:v>-27.5</x:v>
      </x:c>
      <x:c r="L47" s="8" t="n">
        <x:f>Source!K33</x:f>
        <x:v>46</x:v>
      </x:c>
      <x:c r="M47" s="8" t="n">
        <x:f>Source!L33</x:f>
        <x:v>-42</x:v>
      </x:c>
      <x:c r="N47" s="8" t="n">
        <x:f>Source!M33</x:f>
        <x:v>-24</x:v>
      </x:c>
      <x:c r="O47" s="8" t="n">
        <x:f>Source!N33</x:f>
        <x:v>-30</x:v>
      </x:c>
      <x:c r="P47" s="20" t="n">
        <x:f>-P59</x:f>
        <x:v>-24.73166666666667</x:v>
      </x:c>
      <x:c r="Q47" s="20" t="n">
        <x:f>-Q59</x:f>
        <x:v>-23.686666666666667</x:v>
      </x:c>
      <x:c r="R47" s="20" t="n">
        <x:f>-R59</x:f>
        <x:v>-27.17</x:v>
      </x:c>
      <x:c r="S47" s="20" t="n">
        <x:f>-S59</x:f>
        <x:v>-28.91166666666667</x:v>
      </x:c>
      <x:c r="T47" s="20" t="n">
        <x:f>-T59</x:f>
        <x:v>-26.95751666666667</x:v>
      </x:c>
      <x:c r="U47" s="20" t="n">
        <x:f>-U59</x:f>
        <x:v>-25.818466666666673</x:v>
      </x:c>
      <x:c r="V47" s="20" t="n">
        <x:f>-V59</x:f>
        <x:v>-29.61530000000001</x:v>
      </x:c>
      <x:c r="W47" s="20" t="n">
        <x:f>-W59</x:f>
        <x:v>-31.51371666666667</x:v>
      </x:c>
      <x:c r="X47" s="20" t="n">
        <x:f>-X59</x:f>
        <x:v>-29.114118000000005</x:v>
      </x:c>
      <x:c r="Y47" s="20" t="n">
        <x:f>-Y59</x:f>
        <x:v>-27.883944000000003</x:v>
      </x:c>
      <x:c r="Z47" s="20" t="n">
        <x:f>-Z59</x:f>
        <x:v>-31.984524000000008</x:v>
      </x:c>
      <x:c r="AA47" s="20" t="n">
        <x:f>-AA59</x:f>
        <x:v>-34.034814000000004</x:v>
      </x:c>
    </x:row>
    <x:row r="48" ht="21" customHeight="1">
      <x:c r="A48" s="1"/>
      <x:c r="B48" s="1"/>
      <x:c r="C48" s="27" t="str">
        <x:v>Cash from investing</x:v>
      </x:c>
      <x:c r="D48" s="28" t="n">
        <x:f>Source!C34</x:f>
        <x:v>-5</x:v>
      </x:c>
      <x:c r="E48" s="28" t="n">
        <x:f>Source!D34</x:f>
        <x:v>-30</x:v>
      </x:c>
      <x:c r="F48" s="28" t="n">
        <x:f>Source!E34</x:f>
        <x:v>-15</x:v>
      </x:c>
      <x:c r="G48" s="28" t="n">
        <x:f>Source!F34</x:f>
        <x:v>-30</x:v>
      </x:c>
      <x:c r="H48" s="28" t="n">
        <x:f>Source!G34</x:f>
        <x:v>27</x:v>
      </x:c>
      <x:c r="I48" s="28" t="n">
        <x:f>Source!H34</x:f>
        <x:v>-33</x:v>
      </x:c>
      <x:c r="J48" s="28" t="n">
        <x:f>Source!I34</x:f>
        <x:v>-16.5</x:v>
      </x:c>
      <x:c r="K48" s="28" t="n">
        <x:f>Source!J34</x:f>
        <x:v>-27.5</x:v>
      </x:c>
      <x:c r="L48" s="28" t="n">
        <x:f>Source!K34</x:f>
        <x:v>46</x:v>
      </x:c>
      <x:c r="M48" s="28" t="n">
        <x:f>Source!L34</x:f>
        <x:v>-42</x:v>
      </x:c>
      <x:c r="N48" s="28" t="n">
        <x:f>Source!M34</x:f>
        <x:v>-24</x:v>
      </x:c>
      <x:c r="O48" s="28" t="n">
        <x:f>Source!N34</x:f>
        <x:v>-30</x:v>
      </x:c>
      <x:c r="P48" s="29" t="n">
        <x:f>P47</x:f>
        <x:v>-24.73166666666667</x:v>
      </x:c>
      <x:c r="Q48" s="29" t="n">
        <x:f>Q47</x:f>
        <x:v>-23.686666666666667</x:v>
      </x:c>
      <x:c r="R48" s="29" t="n">
        <x:f>R47</x:f>
        <x:v>-27.17</x:v>
      </x:c>
      <x:c r="S48" s="29" t="n">
        <x:f>S47</x:f>
        <x:v>-28.91166666666667</x:v>
      </x:c>
      <x:c r="T48" s="29" t="n">
        <x:f>T47</x:f>
        <x:v>-26.95751666666667</x:v>
      </x:c>
      <x:c r="U48" s="29" t="n">
        <x:f>U47</x:f>
        <x:v>-25.818466666666673</x:v>
      </x:c>
      <x:c r="V48" s="29" t="n">
        <x:f>V47</x:f>
        <x:v>-29.61530000000001</x:v>
      </x:c>
      <x:c r="W48" s="29" t="n">
        <x:f>W47</x:f>
        <x:v>-31.51371666666667</x:v>
      </x:c>
      <x:c r="X48" s="29" t="n">
        <x:f>X47</x:f>
        <x:v>-29.114118000000005</x:v>
      </x:c>
      <x:c r="Y48" s="29" t="n">
        <x:f>Y47</x:f>
        <x:v>-27.883944000000003</x:v>
      </x:c>
      <x:c r="Z48" s="29" t="n">
        <x:f>Z47</x:f>
        <x:v>-31.984524000000008</x:v>
      </x:c>
      <x:c r="AA48" s="29" t="n">
        <x:f>AA47</x:f>
        <x:v>-34.034814000000004</x:v>
      </x:c>
    </x:row>
    <x:row r="49" ht="21" customHeight="1">
      <x:c r="A49" s="1"/>
      <x:c r="B49" s="1"/>
      <x:c r="C49" s="1" t="str">
        <x:v>Net cash borrowing / repayment</x:v>
      </x:c>
      <x:c r="D49" s="8" t="n">
        <x:f>Source!C35+Source!C36</x:f>
        <x:v>-2</x:v>
      </x:c>
      <x:c r="E49" s="8" t="n">
        <x:f>Source!D35+Source!D36</x:f>
        <x:v>-0.07499999999999996</x:v>
      </x:c>
      <x:c r="F49" s="8" t="n">
        <x:f>Source!E35+Source!E36</x:f>
        <x:v>-0.50625</x:v>
      </x:c>
      <x:c r="G49" s="8" t="n">
        <x:f>Source!F35+Source!F36</x:f>
        <x:v>-2.41875</x:v>
      </x:c>
      <x:c r="H49" s="8" t="n">
        <x:f>Source!G35+Source!G36</x:f>
        <x:v>-3.0999999999999996</x:v>
      </x:c>
      <x:c r="I49" s="8" t="n">
        <x:f>Source!H35+Source!H36</x:f>
        <x:v>-3.225</x:v>
      </x:c>
      <x:c r="J49" s="8" t="n">
        <x:f>Source!I35+Source!I36</x:f>
        <x:v>-3.01875</x:v>
      </x:c>
      <x:c r="K49" s="8" t="n">
        <x:f>Source!J35+Source!J36</x:f>
        <x:v>-10.65625</x:v>
      </x:c>
      <x:c r="L49" s="8" t="n">
        <x:f>Source!K35+Source!K36</x:f>
        <x:v>-3</x:v>
      </x:c>
      <x:c r="M49" s="8" t="n">
        <x:f>Source!L35+Source!L36</x:f>
        <x:v>-0.25</x:v>
      </x:c>
      <x:c r="N49" s="8" t="n">
        <x:f>Source!M35+Source!M36</x:f>
        <x:v>-0.8125</x:v>
      </x:c>
      <x:c r="O49" s="8" t="n">
        <x:f>Source!N35+Source!N36</x:f>
        <x:v>-5.9375</x:v>
      </x:c>
      <x:c r="P49" s="20" t="n">
        <x:f>P65-P64</x:f>
        <x:v>-12.5</x:v>
      </x:c>
      <x:c r="Q49" s="20" t="n">
        <x:f>Q65-Q64</x:f>
        <x:v>-12.5</x:v>
      </x:c>
      <x:c r="R49" s="20" t="n">
        <x:f>R65-R64</x:f>
        <x:v>-12.5</x:v>
      </x:c>
      <x:c r="S49" s="20" t="n">
        <x:f>S65-S64</x:f>
        <x:v>-12.5</x:v>
      </x:c>
      <x:c r="T49" s="20" t="n">
        <x:f>T65-T64</x:f>
        <x:v>-12.5</x:v>
      </x:c>
      <x:c r="U49" s="20" t="n">
        <x:f>U65-U64</x:f>
        <x:v>-12.5</x:v>
      </x:c>
      <x:c r="V49" s="20" t="n">
        <x:f>V65-V64</x:f>
        <x:v>-12.5</x:v>
      </x:c>
      <x:c r="W49" s="20" t="n">
        <x:f>W65-W64</x:f>
        <x:v>-12.5</x:v>
      </x:c>
      <x:c r="X49" s="20" t="n">
        <x:f>X65-X64</x:f>
        <x:v>-12.5</x:v>
      </x:c>
      <x:c r="Y49" s="20" t="n">
        <x:f>Y65-Y64</x:f>
        <x:v>-12.5</x:v>
      </x:c>
      <x:c r="Z49" s="20" t="n">
        <x:f>Z65-Z64</x:f>
        <x:v>-12.5</x:v>
      </x:c>
      <x:c r="AA49" s="20" t="n">
        <x:f>AA65-AA64</x:f>
        <x:v>-12.5</x:v>
      </x:c>
    </x:row>
    <x:row r="50" ht="21" customHeight="1">
      <x:c r="A50" s="1"/>
      <x:c r="B50" s="1"/>
      <x:c r="C50" s="1" t="str">
        <x:v>Net cash equity financing</x:v>
      </x:c>
      <x:c r="D50" s="8" t="n">
        <x:f>Source!C37</x:f>
        <x:v>0</x:v>
      </x:c>
      <x:c r="E50" s="8" t="n">
        <x:f>Source!D37</x:f>
        <x:v>26</x:v>
      </x:c>
      <x:c r="F50" s="8" t="n">
        <x:f>Source!E37</x:f>
        <x:v>5</x:v>
      </x:c>
      <x:c r="G50" s="8" t="n">
        <x:f>Source!F37</x:f>
        <x:v>27</x:v>
      </x:c>
      <x:c r="H50" s="8" t="n">
        <x:f>Source!G37</x:f>
        <x:v>-55</x:v>
      </x:c>
      <x:c r="I50" s="8" t="n">
        <x:f>Source!H37</x:f>
        <x:v>64</x:v>
      </x:c>
      <x:c r="J50" s="8" t="n">
        <x:f>Source!I37</x:f>
        <x:v>1</x:v>
      </x:c>
      <x:c r="K50" s="8" t="n">
        <x:f>Source!J37</x:f>
        <x:v>57</x:v>
      </x:c>
      <x:c r="L50" s="8" t="n">
        <x:f>Source!K37</x:f>
        <x:v>-103</x:v>
      </x:c>
      <x:c r="M50" s="8" t="n">
        <x:f>Source!L37</x:f>
        <x:v>78</x:v>
      </x:c>
      <x:c r="N50" s="8" t="n">
        <x:f>Source!M37</x:f>
        <x:v>9</x:v>
      </x:c>
      <x:c r="O50" s="8" t="n">
        <x:f>Source!N37</x:f>
        <x:v>56</x:v>
      </x:c>
      <x:c r="P50" s="8" t="n">
        <x:f>Assumptions!D14/4</x:f>
        <x:v>0</x:v>
      </x:c>
      <x:c r="Q50" s="8" t="n">
        <x:f>Assumptions!D14/4</x:f>
        <x:v>0</x:v>
      </x:c>
      <x:c r="R50" s="8" t="n">
        <x:f>Assumptions!D14/4</x:f>
        <x:v>0</x:v>
      </x:c>
      <x:c r="S50" s="8" t="n">
        <x:f>Assumptions!D14/4</x:f>
        <x:v>0</x:v>
      </x:c>
      <x:c r="T50" s="8" t="n">
        <x:f>Assumptions!E14/4</x:f>
        <x:v>0</x:v>
      </x:c>
      <x:c r="U50" s="8" t="n">
        <x:f>Assumptions!E14/4</x:f>
        <x:v>0</x:v>
      </x:c>
      <x:c r="V50" s="8" t="n">
        <x:f>Assumptions!E14/4</x:f>
        <x:v>0</x:v>
      </x:c>
      <x:c r="W50" s="8" t="n">
        <x:f>Assumptions!E14/4</x:f>
        <x:v>0</x:v>
      </x:c>
      <x:c r="X50" s="8" t="n">
        <x:f>Assumptions!F14/4</x:f>
        <x:v>0</x:v>
      </x:c>
      <x:c r="Y50" s="8" t="n">
        <x:f>Assumptions!F14/4</x:f>
        <x:v>0</x:v>
      </x:c>
      <x:c r="Z50" s="8" t="n">
        <x:f>Assumptions!F14/4</x:f>
        <x:v>0</x:v>
      </x:c>
      <x:c r="AA50" s="8" t="n">
        <x:f>Assumptions!F14/4</x:f>
        <x:v>0</x:v>
      </x:c>
    </x:row>
    <x:row r="51" ht="21" customHeight="1">
      <x:c r="A51" s="1"/>
      <x:c r="B51" s="1"/>
      <x:c r="C51" s="1" t="str">
        <x:v>Cash dividends paid</x:v>
      </x:c>
      <x:c r="D51" s="2" t="n">
        <x:v>0</x:v>
      </x:c>
      <x:c r="E51" s="2" t="n">
        <x:v>0</x:v>
      </x:c>
      <x:c r="F51" s="2" t="n">
        <x:v>0</x:v>
      </x:c>
      <x:c r="G51" s="2" t="n">
        <x:v>0</x:v>
      </x:c>
      <x:c r="H51" s="2" t="n">
        <x:v>0</x:v>
      </x:c>
      <x:c r="I51" s="2" t="n">
        <x:v>0</x:v>
      </x:c>
      <x:c r="J51" s="2" t="n">
        <x:v>0</x:v>
      </x:c>
      <x:c r="K51" s="2" t="n">
        <x:v>0</x:v>
      </x:c>
      <x:c r="L51" s="2" t="n">
        <x:v>0</x:v>
      </x:c>
      <x:c r="M51" s="2" t="n">
        <x:v>0</x:v>
      </x:c>
      <x:c r="N51" s="2" t="n">
        <x:v>0</x:v>
      </x:c>
      <x:c r="O51" s="2" t="n">
        <x:v>0</x:v>
      </x:c>
      <x:c r="P51" s="8" t="n">
        <x:f>-Assumptions!D15/4</x:f>
        <x:v>0</x:v>
      </x:c>
      <x:c r="Q51" s="8" t="n">
        <x:f>-Assumptions!D15/4</x:f>
        <x:v>0</x:v>
      </x:c>
      <x:c r="R51" s="8" t="n">
        <x:f>-Assumptions!D15/4</x:f>
        <x:v>0</x:v>
      </x:c>
      <x:c r="S51" s="8" t="n">
        <x:f>-Assumptions!D15/4</x:f>
        <x:v>0</x:v>
      </x:c>
      <x:c r="T51" s="8" t="n">
        <x:f>-Assumptions!E15/4</x:f>
        <x:v>0</x:v>
      </x:c>
      <x:c r="U51" s="8" t="n">
        <x:f>-Assumptions!E15/4</x:f>
        <x:v>0</x:v>
      </x:c>
      <x:c r="V51" s="8" t="n">
        <x:f>-Assumptions!E15/4</x:f>
        <x:v>0</x:v>
      </x:c>
      <x:c r="W51" s="8" t="n">
        <x:f>-Assumptions!E15/4</x:f>
        <x:v>0</x:v>
      </x:c>
      <x:c r="X51" s="8" t="n">
        <x:f>-Assumptions!F15/4</x:f>
        <x:v>0</x:v>
      </x:c>
      <x:c r="Y51" s="8" t="n">
        <x:f>-Assumptions!F15/4</x:f>
        <x:v>0</x:v>
      </x:c>
      <x:c r="Z51" s="8" t="n">
        <x:f>-Assumptions!F15/4</x:f>
        <x:v>0</x:v>
      </x:c>
      <x:c r="AA51" s="8" t="n">
        <x:f>-Assumptions!F15/4</x:f>
        <x:v>0</x:v>
      </x:c>
    </x:row>
    <x:row r="52" ht="21" customHeight="1">
      <x:c r="A52" s="1"/>
      <x:c r="B52" s="1"/>
      <x:c r="C52" s="27" t="str">
        <x:v>Cash from financing</x:v>
      </x:c>
      <x:c r="D52" s="28" t="n">
        <x:f>Source!C38</x:f>
        <x:v>-2</x:v>
      </x:c>
      <x:c r="E52" s="28" t="n">
        <x:f>Source!D38</x:f>
        <x:v>25.925</x:v>
      </x:c>
      <x:c r="F52" s="28" t="n">
        <x:f>Source!E38</x:f>
        <x:v>4.49375</x:v>
      </x:c>
      <x:c r="G52" s="28" t="n">
        <x:f>Source!F38</x:f>
        <x:v>24.58125</x:v>
      </x:c>
      <x:c r="H52" s="28" t="n">
        <x:f>Source!G38</x:f>
        <x:v>-58.1</x:v>
      </x:c>
      <x:c r="I52" s="28" t="n">
        <x:f>Source!H38</x:f>
        <x:v>60.775</x:v>
      </x:c>
      <x:c r="J52" s="28" t="n">
        <x:f>Source!I38</x:f>
        <x:v>-2.01875</x:v>
      </x:c>
      <x:c r="K52" s="28" t="n">
        <x:f>Source!J38</x:f>
        <x:v>46.34375</x:v>
      </x:c>
      <x:c r="L52" s="28" t="n">
        <x:f>Source!K38</x:f>
        <x:v>-106</x:v>
      </x:c>
      <x:c r="M52" s="28" t="n">
        <x:f>Source!L38</x:f>
        <x:v>77.75</x:v>
      </x:c>
      <x:c r="N52" s="28" t="n">
        <x:f>Source!M38</x:f>
        <x:v>8.1875</x:v>
      </x:c>
      <x:c r="O52" s="28" t="n">
        <x:f>Source!N38</x:f>
        <x:v>50.0625</x:v>
      </x:c>
      <x:c r="P52" s="29" t="n">
        <x:f>SUM(P49:P51)</x:f>
        <x:v>-12.5</x:v>
      </x:c>
      <x:c r="Q52" s="29" t="n">
        <x:f>SUM(Q49:Q51)</x:f>
        <x:v>-12.5</x:v>
      </x:c>
      <x:c r="R52" s="29" t="n">
        <x:f>SUM(R49:R51)</x:f>
        <x:v>-12.5</x:v>
      </x:c>
      <x:c r="S52" s="29" t="n">
        <x:f>SUM(S49:S51)</x:f>
        <x:v>-12.5</x:v>
      </x:c>
      <x:c r="T52" s="29" t="n">
        <x:f>SUM(T49:T51)</x:f>
        <x:v>-12.5</x:v>
      </x:c>
      <x:c r="U52" s="29" t="n">
        <x:f>SUM(U49:U51)</x:f>
        <x:v>-12.5</x:v>
      </x:c>
      <x:c r="V52" s="29" t="n">
        <x:f>SUM(V49:V51)</x:f>
        <x:v>-12.5</x:v>
      </x:c>
      <x:c r="W52" s="29" t="n">
        <x:f>SUM(W49:W51)</x:f>
        <x:v>-12.5</x:v>
      </x:c>
      <x:c r="X52" s="29" t="n">
        <x:f>SUM(X49:X51)</x:f>
        <x:v>-12.5</x:v>
      </x:c>
      <x:c r="Y52" s="29" t="n">
        <x:f>SUM(Y49:Y51)</x:f>
        <x:v>-12.5</x:v>
      </x:c>
      <x:c r="Z52" s="29" t="n">
        <x:f>SUM(Z49:Z51)</x:f>
        <x:v>-12.5</x:v>
      </x:c>
      <x:c r="AA52" s="29" t="n">
        <x:f>SUM(AA49:AA51)</x:f>
        <x:v>-12.5</x:v>
      </x:c>
    </x:row>
    <x:row r="53" ht="21" customHeight="1">
      <x:c r="A53" s="1"/>
      <x:c r="B53" s="1"/>
      <x:c r="C53" s="27" t="str">
        <x:v>Change in cash</x:v>
      </x:c>
      <x:c r="D53" s="29" t="n">
        <x:f>SUM(D46,D48,D52)</x:f>
        <x:v>29.200000000000003</x:v>
      </x:c>
      <x:c r="E53" s="29" t="n">
        <x:f>SUM(E46,E48,E52)</x:f>
        <x:v>3.8249999999999993</x:v>
      </x:c>
      <x:c r="F53" s="29" t="n">
        <x:f>SUM(F46,F48,F52)</x:f>
        <x:v>1.3937500000000007</x:v>
      </x:c>
      <x:c r="G53" s="29" t="n">
        <x:f>SUM(G46,G48,G52)</x:f>
        <x:v>3.5812500000000007</x:v>
      </x:c>
      <x:c r="H53" s="29" t="n">
        <x:f>SUM(H46,H48,H52)</x:f>
        <x:v>8.219999999999992</x:v>
      </x:c>
      <x:c r="I53" s="29" t="n">
        <x:f>SUM(I46,I48,I52)</x:f>
        <x:v>29.095</x:v>
      </x:c>
      <x:c r="J53" s="29" t="n">
        <x:f>SUM(J46,J48,J52)</x:f>
        <x:v>2.2212499999999986</x:v>
      </x:c>
      <x:c r="K53" s="29" t="n">
        <x:f>SUM(K46,K48,K52)</x:f>
        <x:v>31.463749999999997</x:v>
      </x:c>
      <x:c r="L53" s="29" t="n">
        <x:f>SUM(L46,L48,L52)</x:f>
        <x:v>3.5999999999999943</x:v>
      </x:c>
      <x:c r="M53" s="29" t="n">
        <x:f>SUM(M46,M48,M52)</x:f>
        <x:v>36.45</x:v>
      </x:c>
      <x:c r="N53" s="29" t="n">
        <x:f>SUM(N46,N48,N52)</x:f>
        <x:v>2.5874999999999986</x:v>
      </x:c>
      <x:c r="O53" s="29" t="n">
        <x:f>SUM(O46,O48,O52)</x:f>
        <x:v>37.3625</x:v>
      </x:c>
      <x:c r="P53" s="29" t="n">
        <x:f>SUM(P46,P48,P52)</x:f>
        <x:v>36.27247102897033</x:v>
      </x:c>
      <x:c r="Q53" s="29" t="n">
        <x:f>SUM(Q46,Q48,Q52)</x:f>
        <x:v>-26.31409060365185</x:v>
      </x:c>
      <x:c r="R53" s="29" t="n">
        <x:f>SUM(R46,R48,R52)</x:f>
        <x:v>-17.63178897109949</x:v>
      </x:c>
      <x:c r="S53" s="29" t="n">
        <x:f>SUM(S46,S48,S52)</x:f>
        <x:v>-20.112358183036903</x:v>
      </x:c>
      <x:c r="T53" s="29" t="n">
        <x:f>SUM(T46,T48,T52)</x:f>
        <x:v>50.81644662414508</x:v>
      </x:c>
      <x:c r="U53" s="29" t="n">
        <x:f>SUM(U46,U48,U52)</x:f>
        <x:v>-23.1380363218122</x:v>
      </x:c>
      <x:c r="V53" s="29" t="n">
        <x:f>SUM(V46,V48,V52)</x:f>
        <x:v>-16.028350242582906</x:v>
      </x:c>
      <x:c r="W53" s="29" t="n">
        <x:f>SUM(W46,W48,W52)</x:f>
        <x:v>-18.74405448641161</x:v>
      </x:c>
      <x:c r="X53" s="29" t="n">
        <x:f>SUM(X46,X48,X52)</x:f>
        <x:v>60.67550198986551</x:v>
      </x:c>
      <x:c r="Y53" s="29" t="n">
        <x:f>SUM(Y46,Y48,Y52)</x:f>
        <x:v>-21.816978219634652</x:v>
      </x:c>
      <x:c r="Z53" s="29" t="n">
        <x:f>SUM(Z46,Z48,Z52)</x:f>
        <x:v>-14.149080634348763</x:v>
      </x:c>
      <x:c r="AA53" s="29" t="n">
        <x:f>SUM(AA46,AA48,AA52)</x:f>
        <x:v>-17.092604597965412</x:v>
      </x:c>
    </x:row>
    <x:row r="54" ht="21" customHeight="1">
      <x:c r="A54" s="1"/>
      <x:c r="B54" s="1"/>
      <x:c r="C54" s="1" t="str">
        <x:v>Opening cash</x:v>
      </x:c>
      <x:c r="D54" s="8" t="n">
        <x:f>Assumptions!$D$30</x:f>
        <x:v>21.8</x:v>
      </x:c>
      <x:c r="E54" s="8" t="n">
        <x:f>Source!D40</x:f>
        <x:v>51</x:v>
      </x:c>
      <x:c r="F54" s="8" t="n">
        <x:f>Source!E40</x:f>
        <x:v>54.825</x:v>
      </x:c>
      <x:c r="G54" s="8" t="n">
        <x:f>Source!F40</x:f>
        <x:v>56.21875</x:v>
      </x:c>
      <x:c r="H54" s="8" t="n">
        <x:f>Source!G40</x:f>
        <x:v>59.8</x:v>
      </x:c>
      <x:c r="I54" s="8" t="n">
        <x:f>Source!H40</x:f>
        <x:v>68.02</x:v>
      </x:c>
      <x:c r="J54" s="8" t="n">
        <x:f>Source!I40</x:f>
        <x:v>97.115</x:v>
      </x:c>
      <x:c r="K54" s="8" t="n">
        <x:f>Source!J40</x:f>
        <x:v>99.33625</x:v>
      </x:c>
      <x:c r="L54" s="8" t="n">
        <x:f>Source!K40</x:f>
        <x:v>130.8</x:v>
      </x:c>
      <x:c r="M54" s="8" t="n">
        <x:f>Source!L40</x:f>
        <x:v>134.4</x:v>
      </x:c>
      <x:c r="N54" s="8" t="n">
        <x:f>Source!M40</x:f>
        <x:v>170.85</x:v>
      </x:c>
      <x:c r="O54" s="8" t="n">
        <x:f>Source!N40</x:f>
        <x:v>173.4375</x:v>
      </x:c>
      <x:c r="P54" s="20" t="n">
        <x:f>O55</x:f>
        <x:v>210.8</x:v>
      </x:c>
      <x:c r="Q54" s="20" t="n">
        <x:f>P55</x:f>
        <x:v>247.07247102897034</x:v>
      </x:c>
      <x:c r="R54" s="20" t="n">
        <x:f>Q55</x:f>
        <x:v>220.75838042531848</x:v>
      </x:c>
      <x:c r="S54" s="20" t="n">
        <x:f>R55</x:f>
        <x:v>203.12659145421898</x:v>
      </x:c>
      <x:c r="T54" s="20" t="n">
        <x:f>S55</x:f>
        <x:v>183.0142332711821</x:v>
      </x:c>
      <x:c r="U54" s="20" t="n">
        <x:f>T55</x:f>
        <x:v>233.83067989532717</x:v>
      </x:c>
      <x:c r="V54" s="20" t="n">
        <x:f>U55</x:f>
        <x:v>210.69264357351497</x:v>
      </x:c>
      <x:c r="W54" s="20" t="n">
        <x:f>V55</x:f>
        <x:v>194.66429333093205</x:v>
      </x:c>
      <x:c r="X54" s="20" t="n">
        <x:f>W55</x:f>
        <x:v>175.92023884452044</x:v>
      </x:c>
      <x:c r="Y54" s="20" t="n">
        <x:f>X55</x:f>
        <x:v>236.59574083438594</x:v>
      </x:c>
      <x:c r="Z54" s="20" t="n">
        <x:f>Y55</x:f>
        <x:v>214.7787626147513</x:v>
      </x:c>
      <x:c r="AA54" s="20" t="n">
        <x:f>Z55</x:f>
        <x:v>200.62968198040252</x:v>
      </x:c>
    </x:row>
    <x:row r="55" ht="21" customHeight="1">
      <x:c r="A55" s="1"/>
      <x:c r="B55" s="1"/>
      <x:c r="C55" s="27" t="str">
        <x:v>Closing cash</x:v>
      </x:c>
      <x:c r="D55" s="28" t="n">
        <x:f>Source!C41</x:f>
        <x:v>51</x:v>
      </x:c>
      <x:c r="E55" s="28" t="n">
        <x:f>Source!D41</x:f>
        <x:v>54.825</x:v>
      </x:c>
      <x:c r="F55" s="28" t="n">
        <x:f>Source!E41</x:f>
        <x:v>56.21875</x:v>
      </x:c>
      <x:c r="G55" s="28" t="n">
        <x:f>Source!F41</x:f>
        <x:v>59.8</x:v>
      </x:c>
      <x:c r="H55" s="28" t="n">
        <x:f>Source!G41</x:f>
        <x:v>68.02</x:v>
      </x:c>
      <x:c r="I55" s="28" t="n">
        <x:f>Source!H41</x:f>
        <x:v>97.115</x:v>
      </x:c>
      <x:c r="J55" s="28" t="n">
        <x:f>Source!I41</x:f>
        <x:v>99.33625</x:v>
      </x:c>
      <x:c r="K55" s="28" t="n">
        <x:f>Source!J41</x:f>
        <x:v>130.8</x:v>
      </x:c>
      <x:c r="L55" s="28" t="n">
        <x:f>Source!K41</x:f>
        <x:v>134.4</x:v>
      </x:c>
      <x:c r="M55" s="28" t="n">
        <x:f>Source!L41</x:f>
        <x:v>170.85</x:v>
      </x:c>
      <x:c r="N55" s="28" t="n">
        <x:f>Source!M41</x:f>
        <x:v>173.4375</x:v>
      </x:c>
      <x:c r="O55" s="28" t="n">
        <x:f>Source!N41</x:f>
        <x:v>210.8</x:v>
      </x:c>
      <x:c r="P55" s="29" t="n">
        <x:f>P54+P53</x:f>
        <x:v>247.07247102897034</x:v>
      </x:c>
      <x:c r="Q55" s="29" t="n">
        <x:f>Q54+Q53</x:f>
        <x:v>220.75838042531848</x:v>
      </x:c>
      <x:c r="R55" s="29" t="n">
        <x:f>R54+R53</x:f>
        <x:v>203.12659145421898</x:v>
      </x:c>
      <x:c r="S55" s="29" t="n">
        <x:f>S54+S53</x:f>
        <x:v>183.0142332711821</x:v>
      </x:c>
      <x:c r="T55" s="29" t="n">
        <x:f>T54+T53</x:f>
        <x:v>233.83067989532717</x:v>
      </x:c>
      <x:c r="U55" s="29" t="n">
        <x:f>U54+U53</x:f>
        <x:v>210.69264357351497</x:v>
      </x:c>
      <x:c r="V55" s="29" t="n">
        <x:f>V54+V53</x:f>
        <x:v>194.66429333093205</x:v>
      </x:c>
      <x:c r="W55" s="29" t="n">
        <x:f>W54+W53</x:f>
        <x:v>175.92023884452044</x:v>
      </x:c>
      <x:c r="X55" s="29" t="n">
        <x:f>X54+X53</x:f>
        <x:v>236.59574083438594</x:v>
      </x:c>
      <x:c r="Y55" s="29" t="n">
        <x:f>Y54+Y53</x:f>
        <x:v>214.7787626147513</x:v>
      </x:c>
      <x:c r="Z55" s="29" t="n">
        <x:f>Z54+Z53</x:f>
        <x:v>200.62968198040252</x:v>
      </x:c>
      <x:c r="AA55" s="29" t="n">
        <x:f>AA54+AA53</x:f>
        <x:v>183.5370773824371</x:v>
      </x:c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A57" s="1"/>
      <x:c r="B57" s="1"/>
      <x:c r="C57" s="15" t="str">
        <x:v>Asset and debt schedules</x:v>
      </x:c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  <x:c r="AA57" s="16"/>
    </x:row>
    <x:row r="58" ht="21" customHeight="1">
      <x:c r="A58" s="1"/>
      <x:c r="B58" s="1"/>
      <x:c r="C58" s="1" t="str">
        <x:v>Opening net PP&amp;E</x:v>
      </x:c>
      <x:c r="D58" s="8" t="n">
        <x:f>Assumptions!$D$32</x:f>
        <x:v>420</x:v>
      </x:c>
      <x:c r="E58" s="20" t="n">
        <x:f>D27</x:f>
        <x:v>425</x:v>
      </x:c>
      <x:c r="F58" s="20" t="n">
        <x:f>E27</x:f>
        <x:v>455</x:v>
      </x:c>
      <x:c r="G58" s="20" t="n">
        <x:f>F27</x:f>
        <x:v>470</x:v>
      </x:c>
      <x:c r="H58" s="20" t="n">
        <x:f>G27</x:f>
        <x:v>500</x:v>
      </x:c>
      <x:c r="I58" s="20" t="n">
        <x:f>H27</x:f>
        <x:v>473</x:v>
      </x:c>
      <x:c r="J58" s="20" t="n">
        <x:f>I27</x:f>
        <x:v>506</x:v>
      </x:c>
      <x:c r="K58" s="20" t="n">
        <x:f>J27</x:f>
        <x:v>522.5</x:v>
      </x:c>
      <x:c r="L58" s="20" t="n">
        <x:f>K27</x:f>
        <x:v>550</x:v>
      </x:c>
      <x:c r="M58" s="20" t="n">
        <x:f>L27</x:f>
        <x:v>504</x:v>
      </x:c>
      <x:c r="N58" s="20" t="n">
        <x:f>M27</x:f>
        <x:v>546</x:v>
      </x:c>
      <x:c r="O58" s="20" t="n">
        <x:f>N27</x:f>
        <x:v>570</x:v>
      </x:c>
      <x:c r="P58" s="8" t="n">
        <x:f>'Base Case'!P58</x:f>
        <x:v>600</x:v>
      </x:c>
      <x:c r="Q58" s="8" t="n">
        <x:f>'Base Case'!Q58</x:f>
        <x:v>609.4225208333334</x:v>
      </x:c>
      <x:c r="R58" s="8" t="n">
        <x:f>'Base Case'!R58</x:f>
        <x:v>617.1948125</x:v>
      </x:c>
      <x:c r="S58" s="8" t="n">
        <x:f>'Base Case'!S58</x:f>
        <x:v>627.8147291666667</x:v>
      </x:c>
      <x:c r="T58" s="8" t="n">
        <x:f>'Base Case'!T58</x:f>
        <x:v>639.4752916666666</x:v>
      </x:c>
      <x:c r="U58" s="8" t="n">
        <x:f>'Base Case'!U58</x:f>
        <x:v>648.483339375</x:v>
      </x:c>
      <x:c r="V58" s="8" t="n">
        <x:f>'Base Case'!V58</x:f>
        <x:v>655.6926372916668</x:v>
      </x:c>
      <x:c r="W58" s="8" t="n">
        <x:f>'Base Case'!W58</x:f>
        <x:v>666.0058464583335</x:v>
      </x:c>
      <x:c r="X58" s="8" t="n">
        <x:f>'Base Case'!X58</x:f>
        <x:v>677.4533595833335</x:v>
      </x:c>
      <x:c r="Y58" s="8" t="n">
        <x:f>'Base Case'!Y58</x:f>
        <x:v>685.7434261083334</x:v>
      </x:c>
      <x:c r="Z58" s="8" t="n">
        <x:f>'Base Case'!Z58</x:f>
        <x:v>692.0908428583335</x:v>
      </x:c>
      <x:c r="AA58" s="8" t="n">
        <x:f>'Base Case'!AA58</x:f>
        <x:v>701.7904837583335</x:v>
      </x:c>
    </x:row>
    <x:row r="59" ht="21" customHeight="1">
      <x:c r="A59" s="1"/>
      <x:c r="B59" s="1"/>
      <x:c r="C59" s="1" t="str">
        <x:v>Capital expenditure</x:v>
      </x:c>
      <x:c r="D59" s="2" t="str">
        <x:v>n.a.</x:v>
      </x:c>
      <x:c r="E59" s="2" t="str">
        <x:v>n.a.</x:v>
      </x:c>
      <x:c r="F59" s="2" t="str">
        <x:v>n.a.</x:v>
      </x:c>
      <x:c r="G59" s="2" t="str">
        <x:v>n.a.</x:v>
      </x:c>
      <x:c r="H59" s="2" t="str">
        <x:v>n.a.</x:v>
      </x:c>
      <x:c r="I59" s="2" t="str">
        <x:v>n.a.</x:v>
      </x:c>
      <x:c r="J59" s="2" t="str">
        <x:v>n.a.</x:v>
      </x:c>
      <x:c r="K59" s="2" t="str">
        <x:v>n.a.</x:v>
      </x:c>
      <x:c r="L59" s="2" t="str">
        <x:v>n.a.</x:v>
      </x:c>
      <x:c r="M59" s="2" t="str">
        <x:v>n.a.</x:v>
      </x:c>
      <x:c r="N59" s="2" t="str">
        <x:v>n.a.</x:v>
      </x:c>
      <x:c r="O59" s="2" t="str">
        <x:v>n.a.</x:v>
      </x:c>
      <x:c r="P59" s="8" t="n">
        <x:f>'Base Case'!P59</x:f>
        <x:v>24.73166666666667</x:v>
      </x:c>
      <x:c r="Q59" s="8" t="n">
        <x:f>'Base Case'!Q59</x:f>
        <x:v>23.686666666666667</x:v>
      </x:c>
      <x:c r="R59" s="8" t="n">
        <x:f>'Base Case'!R59</x:f>
        <x:v>27.17</x:v>
      </x:c>
      <x:c r="S59" s="8" t="n">
        <x:f>'Base Case'!S59</x:f>
        <x:v>28.91166666666667</x:v>
      </x:c>
      <x:c r="T59" s="8" t="n">
        <x:f>'Base Case'!T59</x:f>
        <x:v>26.95751666666667</x:v>
      </x:c>
      <x:c r="U59" s="8" t="n">
        <x:f>'Base Case'!U59</x:f>
        <x:v>25.818466666666673</x:v>
      </x:c>
      <x:c r="V59" s="8" t="n">
        <x:f>'Base Case'!V59</x:f>
        <x:v>29.61530000000001</x:v>
      </x:c>
      <x:c r="W59" s="8" t="n">
        <x:f>'Base Case'!W59</x:f>
        <x:v>31.51371666666667</x:v>
      </x:c>
      <x:c r="X59" s="8" t="n">
        <x:f>'Base Case'!X59</x:f>
        <x:v>29.114118000000005</x:v>
      </x:c>
      <x:c r="Y59" s="8" t="n">
        <x:f>'Base Case'!Y59</x:f>
        <x:v>27.883944000000003</x:v>
      </x:c>
      <x:c r="Z59" s="8" t="n">
        <x:f>'Base Case'!Z59</x:f>
        <x:v>31.984524000000008</x:v>
      </x:c>
      <x:c r="AA59" s="8" t="n">
        <x:f>'Base Case'!AA59</x:f>
        <x:v>34.034814000000004</x:v>
      </x:c>
    </x:row>
    <x:row r="60" ht="21" customHeight="1">
      <x:c r="A60" s="1"/>
      <x:c r="B60" s="1"/>
      <x:c r="C60" s="1" t="str">
        <x:v>Depreciation of opening 2024 PP&amp;E</x:v>
      </x:c>
      <x:c r="D60" s="2" t="str">
        <x:v>n.a.</x:v>
      </x:c>
      <x:c r="E60" s="2" t="str">
        <x:v>n.a.</x:v>
      </x:c>
      <x:c r="F60" s="2" t="str">
        <x:v>n.a.</x:v>
      </x:c>
      <x:c r="G60" s="2" t="str">
        <x:v>n.a.</x:v>
      </x:c>
      <x:c r="H60" s="2" t="str">
        <x:v>n.a.</x:v>
      </x:c>
      <x:c r="I60" s="2" t="str">
        <x:v>n.a.</x:v>
      </x:c>
      <x:c r="J60" s="2" t="str">
        <x:v>n.a.</x:v>
      </x:c>
      <x:c r="K60" s="2" t="str">
        <x:v>n.a.</x:v>
      </x:c>
      <x:c r="L60" s="2" t="str">
        <x:v>n.a.</x:v>
      </x:c>
      <x:c r="M60" s="2" t="str">
        <x:v>n.a.</x:v>
      </x:c>
      <x:c r="N60" s="2" t="str">
        <x:v>n.a.</x:v>
      </x:c>
      <x:c r="O60" s="2" t="str">
        <x:v>n.a.</x:v>
      </x:c>
      <x:c r="P60" s="8" t="n">
        <x:f>'Base Case'!P60</x:f>
        <x:v>15</x:v>
      </x:c>
      <x:c r="Q60" s="8" t="n">
        <x:f>'Base Case'!Q60</x:f>
        <x:v>15</x:v>
      </x:c>
      <x:c r="R60" s="8" t="n">
        <x:f>'Base Case'!R60</x:f>
        <x:v>15</x:v>
      </x:c>
      <x:c r="S60" s="8" t="n">
        <x:f>'Base Case'!S60</x:f>
        <x:v>15</x:v>
      </x:c>
      <x:c r="T60" s="8" t="n">
        <x:f>'Base Case'!T60</x:f>
        <x:v>15</x:v>
      </x:c>
      <x:c r="U60" s="8" t="n">
        <x:f>'Base Case'!U60</x:f>
        <x:v>15</x:v>
      </x:c>
      <x:c r="V60" s="8" t="n">
        <x:f>'Base Case'!V60</x:f>
        <x:v>15</x:v>
      </x:c>
      <x:c r="W60" s="8" t="n">
        <x:f>'Base Case'!W60</x:f>
        <x:v>15</x:v>
      </x:c>
      <x:c r="X60" s="8" t="n">
        <x:f>'Base Case'!X60</x:f>
        <x:v>15</x:v>
      </x:c>
      <x:c r="Y60" s="8" t="n">
        <x:f>'Base Case'!Y60</x:f>
        <x:v>15</x:v>
      </x:c>
      <x:c r="Z60" s="8" t="n">
        <x:f>'Base Case'!Z60</x:f>
        <x:v>15</x:v>
      </x:c>
      <x:c r="AA60" s="8" t="n">
        <x:f>'Base Case'!AA60</x:f>
        <x:v>15</x:v>
      </x:c>
    </x:row>
    <x:row r="61" ht="21" customHeight="1">
      <x:c r="A61" s="1"/>
      <x:c r="B61" s="1"/>
      <x:c r="C61" s="1" t="str">
        <x:v>Depreciation of forecast capex</x:v>
      </x:c>
      <x:c r="D61" s="2" t="str">
        <x:v>n.a.</x:v>
      </x:c>
      <x:c r="E61" s="2" t="str">
        <x:v>n.a.</x:v>
      </x:c>
      <x:c r="F61" s="2" t="str">
        <x:v>n.a.</x:v>
      </x:c>
      <x:c r="G61" s="2" t="str">
        <x:v>n.a.</x:v>
      </x:c>
      <x:c r="H61" s="2" t="str">
        <x:v>n.a.</x:v>
      </x:c>
      <x:c r="I61" s="2" t="str">
        <x:v>n.a.</x:v>
      </x:c>
      <x:c r="J61" s="2" t="str">
        <x:v>n.a.</x:v>
      </x:c>
      <x:c r="K61" s="2" t="str">
        <x:v>n.a.</x:v>
      </x:c>
      <x:c r="L61" s="2" t="str">
        <x:v>n.a.</x:v>
      </x:c>
      <x:c r="M61" s="2" t="str">
        <x:v>n.a.</x:v>
      </x:c>
      <x:c r="N61" s="2" t="str">
        <x:v>n.a.</x:v>
      </x:c>
      <x:c r="O61" s="2" t="str">
        <x:v>n.a.</x:v>
      </x:c>
      <x:c r="P61" s="8" t="n">
        <x:f>'Base Case'!P61</x:f>
        <x:v>0.30914583333333334</x:v>
      </x:c>
      <x:c r="Q61" s="8" t="n">
        <x:f>'Base Case'!Q61</x:f>
        <x:v>0.914375</x:v>
      </x:c>
      <x:c r="R61" s="8" t="n">
        <x:f>'Base Case'!R61</x:f>
        <x:v>1.5500833333333335</x:v>
      </x:c>
      <x:c r="S61" s="8" t="n">
        <x:f>'Base Case'!S61</x:f>
        <x:v>2.251104166666667</x:v>
      </x:c>
      <x:c r="T61" s="8" t="n">
        <x:f>'Base Case'!T61</x:f>
        <x:v>2.949468958333333</x:v>
      </x:c>
      <x:c r="U61" s="8" t="n">
        <x:f>'Base Case'!U61</x:f>
        <x:v>3.60916875</x:v>
      </x:c>
      <x:c r="V61" s="8" t="n">
        <x:f>'Base Case'!V61</x:f>
        <x:v>4.302090833333334</x:v>
      </x:c>
      <x:c r="W61" s="8" t="n">
        <x:f>'Base Case'!W61</x:f>
        <x:v>5.066203541666668</x:v>
      </x:c>
      <x:c r="X61" s="8" t="n">
        <x:f>'Base Case'!X61</x:f>
        <x:v>5.824051475000001</x:v>
      </x:c>
      <x:c r="Y61" s="8" t="n">
        <x:f>'Base Case'!Y61</x:f>
        <x:v>6.536527250000002</x:v>
      </x:c>
      <x:c r="Z61" s="8" t="n">
        <x:f>'Base Case'!Z61</x:f>
        <x:v>7.284883100000001</x:v>
      </x:c>
      <x:c r="AA61" s="8" t="n">
        <x:f>'Base Case'!AA61</x:f>
        <x:v>8.110124825000002</x:v>
      </x:c>
    </x:row>
    <x:row r="62" ht="21" customHeight="1">
      <x:c r="A62" s="1"/>
      <x:c r="B62" s="1"/>
      <x:c r="C62" s="27" t="str">
        <x:v>Total depreciation</x:v>
      </x:c>
      <x:c r="D62" s="31" t="str">
        <x:v>n.a.</x:v>
      </x:c>
      <x:c r="E62" s="31" t="str">
        <x:v>n.a.</x:v>
      </x:c>
      <x:c r="F62" s="31" t="str">
        <x:v>n.a.</x:v>
      </x:c>
      <x:c r="G62" s="31" t="str">
        <x:v>n.a.</x:v>
      </x:c>
      <x:c r="H62" s="31" t="str">
        <x:v>n.a.</x:v>
      </x:c>
      <x:c r="I62" s="31" t="str">
        <x:v>n.a.</x:v>
      </x:c>
      <x:c r="J62" s="31" t="str">
        <x:v>n.a.</x:v>
      </x:c>
      <x:c r="K62" s="31" t="str">
        <x:v>n.a.</x:v>
      </x:c>
      <x:c r="L62" s="31" t="str">
        <x:v>n.a.</x:v>
      </x:c>
      <x:c r="M62" s="31" t="str">
        <x:v>n.a.</x:v>
      </x:c>
      <x:c r="N62" s="31" t="str">
        <x:v>n.a.</x:v>
      </x:c>
      <x:c r="O62" s="31" t="str">
        <x:v>n.a.</x:v>
      </x:c>
      <x:c r="P62" s="28" t="n">
        <x:f>'Base Case'!P62</x:f>
        <x:v>15.309145833333334</x:v>
      </x:c>
      <x:c r="Q62" s="28" t="n">
        <x:f>'Base Case'!Q62</x:f>
        <x:v>15.914375</x:v>
      </x:c>
      <x:c r="R62" s="28" t="n">
        <x:f>'Base Case'!R62</x:f>
        <x:v>16.550083333333333</x:v>
      </x:c>
      <x:c r="S62" s="28" t="n">
        <x:f>'Base Case'!S62</x:f>
        <x:v>17.251104166666668</x:v>
      </x:c>
      <x:c r="T62" s="28" t="n">
        <x:f>'Base Case'!T62</x:f>
        <x:v>17.949468958333334</x:v>
      </x:c>
      <x:c r="U62" s="28" t="n">
        <x:f>'Base Case'!U62</x:f>
        <x:v>18.60916875</x:v>
      </x:c>
      <x:c r="V62" s="28" t="n">
        <x:f>'Base Case'!V62</x:f>
        <x:v>19.302090833333335</x:v>
      </x:c>
      <x:c r="W62" s="28" t="n">
        <x:f>'Base Case'!W62</x:f>
        <x:v>20.066203541666667</x:v>
      </x:c>
      <x:c r="X62" s="28" t="n">
        <x:f>'Base Case'!X62</x:f>
        <x:v>20.824051475</x:v>
      </x:c>
      <x:c r="Y62" s="28" t="n">
        <x:f>'Base Case'!Y62</x:f>
        <x:v>21.536527250000002</x:v>
      </x:c>
      <x:c r="Z62" s="28" t="n">
        <x:f>'Base Case'!Z62</x:f>
        <x:v>22.284883100000002</x:v>
      </x:c>
      <x:c r="AA62" s="28" t="n">
        <x:f>'Base Case'!AA62</x:f>
        <x:v>23.110124825</x:v>
      </x:c>
    </x:row>
    <x:row r="63" ht="21" customHeight="1">
      <x:c r="A63" s="1"/>
      <x:c r="B63" s="1"/>
      <x:c r="C63" s="1" t="str">
        <x:v>Opening total debt</x:v>
      </x:c>
      <x:c r="D63" s="20" t="n">
        <x:f>D66-D49</x:f>
        <x:v>385</x:v>
      </x:c>
      <x:c r="E63" s="20" t="n">
        <x:f>D66</x:f>
        <x:v>383</x:v>
      </x:c>
      <x:c r="F63" s="20" t="n">
        <x:f>E66</x:f>
        <x:v>382.925</x:v>
      </x:c>
      <x:c r="G63" s="20" t="n">
        <x:f>F66</x:f>
        <x:v>382.41875</x:v>
      </x:c>
      <x:c r="H63" s="20" t="n">
        <x:f>G66</x:f>
        <x:v>380</x:v>
      </x:c>
      <x:c r="I63" s="20" t="n">
        <x:f>H66</x:f>
        <x:v>376.9</x:v>
      </x:c>
      <x:c r="J63" s="20" t="n">
        <x:f>I66</x:f>
        <x:v>373.675</x:v>
      </x:c>
      <x:c r="K63" s="20" t="n">
        <x:f>J66</x:f>
        <x:v>370.65625</x:v>
      </x:c>
      <x:c r="L63" s="20" t="n">
        <x:f>K66</x:f>
        <x:v>360</x:v>
      </x:c>
      <x:c r="M63" s="20" t="n">
        <x:f>L66</x:f>
        <x:v>357</x:v>
      </x:c>
      <x:c r="N63" s="20" t="n">
        <x:f>M66</x:f>
        <x:v>356.75</x:v>
      </x:c>
      <x:c r="O63" s="20" t="n">
        <x:f>N66</x:f>
        <x:v>355.9375</x:v>
      </x:c>
      <x:c r="P63" s="20" t="n">
        <x:f>O66</x:f>
        <x:v>350</x:v>
      </x:c>
      <x:c r="Q63" s="20" t="n">
        <x:f>P66</x:f>
        <x:v>337.5</x:v>
      </x:c>
      <x:c r="R63" s="20" t="n">
        <x:f>Q66</x:f>
        <x:v>325</x:v>
      </x:c>
      <x:c r="S63" s="20" t="n">
        <x:f>R66</x:f>
        <x:v>312.5</x:v>
      </x:c>
      <x:c r="T63" s="20" t="n">
        <x:f>S66</x:f>
        <x:v>300</x:v>
      </x:c>
      <x:c r="U63" s="20" t="n">
        <x:f>T66</x:f>
        <x:v>287.5</x:v>
      </x:c>
      <x:c r="V63" s="20" t="n">
        <x:f>U66</x:f>
        <x:v>275</x:v>
      </x:c>
      <x:c r="W63" s="20" t="n">
        <x:f>V66</x:f>
        <x:v>262.5</x:v>
      </x:c>
      <x:c r="X63" s="20" t="n">
        <x:f>W66</x:f>
        <x:v>250</x:v>
      </x:c>
      <x:c r="Y63" s="20" t="n">
        <x:f>X66</x:f>
        <x:v>237.5</x:v>
      </x:c>
      <x:c r="Z63" s="20" t="n">
        <x:f>Y66</x:f>
        <x:v>225</x:v>
      </x:c>
      <x:c r="AA63" s="20" t="n">
        <x:f>Z66</x:f>
        <x:v>212.5</x:v>
      </x:c>
    </x:row>
    <x:row r="64" ht="21" customHeight="1">
      <x:c r="A64" s="1"/>
      <x:c r="B64" s="1"/>
      <x:c r="C64" s="1" t="str">
        <x:v>Principal repayments</x:v>
      </x:c>
      <x:c r="D64" s="2" t="str">
        <x:v>n.a.</x:v>
      </x:c>
      <x:c r="E64" s="2" t="str">
        <x:v>n.a.</x:v>
      </x:c>
      <x:c r="F64" s="2" t="str">
        <x:v>n.a.</x:v>
      </x:c>
      <x:c r="G64" s="2" t="str">
        <x:v>n.a.</x:v>
      </x:c>
      <x:c r="H64" s="2" t="str">
        <x:v>n.a.</x:v>
      </x:c>
      <x:c r="I64" s="2" t="str">
        <x:v>n.a.</x:v>
      </x:c>
      <x:c r="J64" s="2" t="str">
        <x:v>n.a.</x:v>
      </x:c>
      <x:c r="K64" s="2" t="str">
        <x:v>n.a.</x:v>
      </x:c>
      <x:c r="L64" s="2" t="str">
        <x:v>n.a.</x:v>
      </x:c>
      <x:c r="M64" s="2" t="str">
        <x:v>n.a.</x:v>
      </x:c>
      <x:c r="N64" s="2" t="str">
        <x:v>n.a.</x:v>
      </x:c>
      <x:c r="O64" s="2" t="str">
        <x:v>n.a.</x:v>
      </x:c>
      <x:c r="P64" s="8" t="n">
        <x:f>MIN(P63,Assumptions!D12/4)</x:f>
        <x:v>12.5</x:v>
      </x:c>
      <x:c r="Q64" s="8" t="n">
        <x:f>MIN(Q63,Assumptions!D12/4)</x:f>
        <x:v>12.5</x:v>
      </x:c>
      <x:c r="R64" s="8" t="n">
        <x:f>MIN(R63,Assumptions!D12/4)</x:f>
        <x:v>12.5</x:v>
      </x:c>
      <x:c r="S64" s="8" t="n">
        <x:f>MIN(S63,Assumptions!D12/4)</x:f>
        <x:v>12.5</x:v>
      </x:c>
      <x:c r="T64" s="8" t="n">
        <x:f>MIN(T63,Assumptions!E12/4)</x:f>
        <x:v>12.5</x:v>
      </x:c>
      <x:c r="U64" s="8" t="n">
        <x:f>MIN(U63,Assumptions!E12/4)</x:f>
        <x:v>12.5</x:v>
      </x:c>
      <x:c r="V64" s="8" t="n">
        <x:f>MIN(V63,Assumptions!E12/4)</x:f>
        <x:v>12.5</x:v>
      </x:c>
      <x:c r="W64" s="8" t="n">
        <x:f>MIN(W63,Assumptions!E12/4)</x:f>
        <x:v>12.5</x:v>
      </x:c>
      <x:c r="X64" s="8" t="n">
        <x:f>MIN(X63,Assumptions!F12/4)</x:f>
        <x:v>12.5</x:v>
      </x:c>
      <x:c r="Y64" s="8" t="n">
        <x:f>MIN(Y63,Assumptions!F12/4)</x:f>
        <x:v>12.5</x:v>
      </x:c>
      <x:c r="Z64" s="8" t="n">
        <x:f>MIN(Z63,Assumptions!F12/4)</x:f>
        <x:v>12.5</x:v>
      </x:c>
      <x:c r="AA64" s="8" t="n">
        <x:f>MIN(AA63,Assumptions!F12/4)</x:f>
        <x:v>12.5</x:v>
      </x:c>
    </x:row>
    <x:row r="65" ht="21" customHeight="1">
      <x:c r="A65" s="1"/>
      <x:c r="B65" s="1"/>
      <x:c r="C65" s="1" t="str">
        <x:v>New cash borrowings</x:v>
      </x:c>
      <x:c r="D65" s="2" t="str">
        <x:v>n.a.</x:v>
      </x:c>
      <x:c r="E65" s="2" t="str">
        <x:v>n.a.</x:v>
      </x:c>
      <x:c r="F65" s="2" t="str">
        <x:v>n.a.</x:v>
      </x:c>
      <x:c r="G65" s="2" t="str">
        <x:v>n.a.</x:v>
      </x:c>
      <x:c r="H65" s="2" t="str">
        <x:v>n.a.</x:v>
      </x:c>
      <x:c r="I65" s="2" t="str">
        <x:v>n.a.</x:v>
      </x:c>
      <x:c r="J65" s="2" t="str">
        <x:v>n.a.</x:v>
      </x:c>
      <x:c r="K65" s="2" t="str">
        <x:v>n.a.</x:v>
      </x:c>
      <x:c r="L65" s="2" t="str">
        <x:v>n.a.</x:v>
      </x:c>
      <x:c r="M65" s="2" t="str">
        <x:v>n.a.</x:v>
      </x:c>
      <x:c r="N65" s="2" t="str">
        <x:v>n.a.</x:v>
      </x:c>
      <x:c r="O65" s="2" t="str">
        <x:v>n.a.</x:v>
      </x:c>
      <x:c r="P65" s="8" t="n">
        <x:f>Assumptions!D13/4</x:f>
        <x:v>0</x:v>
      </x:c>
      <x:c r="Q65" s="8" t="n">
        <x:f>Assumptions!D13/4</x:f>
        <x:v>0</x:v>
      </x:c>
      <x:c r="R65" s="8" t="n">
        <x:f>Assumptions!D13/4</x:f>
        <x:v>0</x:v>
      </x:c>
      <x:c r="S65" s="8" t="n">
        <x:f>Assumptions!D13/4</x:f>
        <x:v>0</x:v>
      </x:c>
      <x:c r="T65" s="8" t="n">
        <x:f>Assumptions!E13/4</x:f>
        <x:v>0</x:v>
      </x:c>
      <x:c r="U65" s="8" t="n">
        <x:f>Assumptions!E13/4</x:f>
        <x:v>0</x:v>
      </x:c>
      <x:c r="V65" s="8" t="n">
        <x:f>Assumptions!E13/4</x:f>
        <x:v>0</x:v>
      </x:c>
      <x:c r="W65" s="8" t="n">
        <x:f>Assumptions!E13/4</x:f>
        <x:v>0</x:v>
      </x:c>
      <x:c r="X65" s="8" t="n">
        <x:f>Assumptions!F13/4</x:f>
        <x:v>0</x:v>
      </x:c>
      <x:c r="Y65" s="8" t="n">
        <x:f>Assumptions!F13/4</x:f>
        <x:v>0</x:v>
      </x:c>
      <x:c r="Z65" s="8" t="n">
        <x:f>Assumptions!F13/4</x:f>
        <x:v>0</x:v>
      </x:c>
      <x:c r="AA65" s="8" t="n">
        <x:f>Assumptions!F13/4</x:f>
        <x:v>0</x:v>
      </x:c>
    </x:row>
    <x:row r="66" ht="21" customHeight="1">
      <x:c r="A66" s="1"/>
      <x:c r="B66" s="1"/>
      <x:c r="C66" s="27" t="str">
        <x:v>Closing total debt</x:v>
      </x:c>
      <x:c r="D66" s="29" t="n">
        <x:f>D31+D33</x:f>
        <x:v>383</x:v>
      </x:c>
      <x:c r="E66" s="29" t="n">
        <x:f>E31+E33</x:f>
        <x:v>382.925</x:v>
      </x:c>
      <x:c r="F66" s="29" t="n">
        <x:f>F31+F33</x:f>
        <x:v>382.41875</x:v>
      </x:c>
      <x:c r="G66" s="29" t="n">
        <x:f>G31+G33</x:f>
        <x:v>380</x:v>
      </x:c>
      <x:c r="H66" s="29" t="n">
        <x:f>H31+H33</x:f>
        <x:v>376.9</x:v>
      </x:c>
      <x:c r="I66" s="29" t="n">
        <x:f>I31+I33</x:f>
        <x:v>373.675</x:v>
      </x:c>
      <x:c r="J66" s="29" t="n">
        <x:f>J31+J33</x:f>
        <x:v>370.65625</x:v>
      </x:c>
      <x:c r="K66" s="29" t="n">
        <x:f>K31+K33</x:f>
        <x:v>360</x:v>
      </x:c>
      <x:c r="L66" s="29" t="n">
        <x:f>L31+L33</x:f>
        <x:v>357</x:v>
      </x:c>
      <x:c r="M66" s="29" t="n">
        <x:f>M31+M33</x:f>
        <x:v>356.75</x:v>
      </x:c>
      <x:c r="N66" s="29" t="n">
        <x:f>N31+N33</x:f>
        <x:v>355.9375</x:v>
      </x:c>
      <x:c r="O66" s="29" t="n">
        <x:f>O31+O33</x:f>
        <x:v>350</x:v>
      </x:c>
      <x:c r="P66" s="29" t="n">
        <x:f>P63-P64+P65</x:f>
        <x:v>337.5</x:v>
      </x:c>
      <x:c r="Q66" s="29" t="n">
        <x:f>Q63-Q64+Q65</x:f>
        <x:v>325</x:v>
      </x:c>
      <x:c r="R66" s="29" t="n">
        <x:f>R63-R64+R65</x:f>
        <x:v>312.5</x:v>
      </x:c>
      <x:c r="S66" s="29" t="n">
        <x:f>S63-S64+S65</x:f>
        <x:v>300</x:v>
      </x:c>
      <x:c r="T66" s="29" t="n">
        <x:f>T63-T64+T65</x:f>
        <x:v>287.5</x:v>
      </x:c>
      <x:c r="U66" s="29" t="n">
        <x:f>U63-U64+U65</x:f>
        <x:v>275</x:v>
      </x:c>
      <x:c r="V66" s="29" t="n">
        <x:f>V63-V64+V65</x:f>
        <x:v>262.5</x:v>
      </x:c>
      <x:c r="W66" s="29" t="n">
        <x:f>W63-W64+W65</x:f>
        <x:v>250</x:v>
      </x:c>
      <x:c r="X66" s="29" t="n">
        <x:f>X63-X64+X65</x:f>
        <x:v>237.5</x:v>
      </x:c>
      <x:c r="Y66" s="29" t="n">
        <x:f>Y63-Y64+Y65</x:f>
        <x:v>225</x:v>
      </x:c>
      <x:c r="Z66" s="29" t="n">
        <x:f>Z63-Z64+Z65</x:f>
        <x:v>212.5</x:v>
      </x:c>
      <x:c r="AA66" s="29" t="n">
        <x:f>AA63-AA64+AA65</x:f>
        <x:v>200</x:v>
      </x:c>
    </x:row>
    <x:row r="67" ht="21" customHeight="1">
      <x:c r="A67" s="1"/>
      <x:c r="B67" s="1"/>
      <x:c r="C67" s="1" t="str">
        <x:v>Average total debt</x:v>
      </x:c>
      <x:c r="D67" s="20" t="n">
        <x:f>AVERAGE(D63,D66)</x:f>
        <x:v>384</x:v>
      </x:c>
      <x:c r="E67" s="20" t="n">
        <x:f>AVERAGE(E63,E66)</x:f>
        <x:v>382.9625</x:v>
      </x:c>
      <x:c r="F67" s="20" t="n">
        <x:f>AVERAGE(F63,F66)</x:f>
        <x:v>382.671875</x:v>
      </x:c>
      <x:c r="G67" s="20" t="n">
        <x:f>AVERAGE(G63,G66)</x:f>
        <x:v>381.209375</x:v>
      </x:c>
      <x:c r="H67" s="20" t="n">
        <x:f>AVERAGE(H63,H66)</x:f>
        <x:v>378.45</x:v>
      </x:c>
      <x:c r="I67" s="20" t="n">
        <x:f>AVERAGE(I63,I66)</x:f>
        <x:v>375.2875</x:v>
      </x:c>
      <x:c r="J67" s="20" t="n">
        <x:f>AVERAGE(J63,J66)</x:f>
        <x:v>372.165625</x:v>
      </x:c>
      <x:c r="K67" s="20" t="n">
        <x:f>AVERAGE(K63,K66)</x:f>
        <x:v>365.328125</x:v>
      </x:c>
      <x:c r="L67" s="20" t="n">
        <x:f>AVERAGE(L63,L66)</x:f>
        <x:v>358.5</x:v>
      </x:c>
      <x:c r="M67" s="20" t="n">
        <x:f>AVERAGE(M63,M66)</x:f>
        <x:v>356.875</x:v>
      </x:c>
      <x:c r="N67" s="20" t="n">
        <x:f>AVERAGE(N63,N66)</x:f>
        <x:v>356.34375</x:v>
      </x:c>
      <x:c r="O67" s="20" t="n">
        <x:f>AVERAGE(O63,O66)</x:f>
        <x:v>352.96875</x:v>
      </x:c>
      <x:c r="P67" s="20" t="n">
        <x:f>AVERAGE(P63,P66)</x:f>
        <x:v>343.75</x:v>
      </x:c>
      <x:c r="Q67" s="20" t="n">
        <x:f>AVERAGE(Q63,Q66)</x:f>
        <x:v>331.25</x:v>
      </x:c>
      <x:c r="R67" s="20" t="n">
        <x:f>AVERAGE(R63,R66)</x:f>
        <x:v>318.75</x:v>
      </x:c>
      <x:c r="S67" s="20" t="n">
        <x:f>AVERAGE(S63,S66)</x:f>
        <x:v>306.25</x:v>
      </x:c>
      <x:c r="T67" s="20" t="n">
        <x:f>AVERAGE(T63,T66)</x:f>
        <x:v>293.75</x:v>
      </x:c>
      <x:c r="U67" s="20" t="n">
        <x:f>AVERAGE(U63,U66)</x:f>
        <x:v>281.25</x:v>
      </x:c>
      <x:c r="V67" s="20" t="n">
        <x:f>AVERAGE(V63,V66)</x:f>
        <x:v>268.75</x:v>
      </x:c>
      <x:c r="W67" s="20" t="n">
        <x:f>AVERAGE(W63,W66)</x:f>
        <x:v>256.25</x:v>
      </x:c>
      <x:c r="X67" s="20" t="n">
        <x:f>AVERAGE(X63,X66)</x:f>
        <x:v>243.75</x:v>
      </x:c>
      <x:c r="Y67" s="20" t="n">
        <x:f>AVERAGE(Y63,Y66)</x:f>
        <x:v>231.25</x:v>
      </x:c>
      <x:c r="Z67" s="20" t="n">
        <x:f>AVERAGE(Z63,Z66)</x:f>
        <x:v>218.75</x:v>
      </x:c>
      <x:c r="AA67" s="20" t="n">
        <x:f>AVERAGE(AA63,AA66)</x:f>
        <x:v>206.25</x:v>
      </x:c>
    </x:row>
    <x:row r="68" ht="21" customHeight="1">
      <x:c r="A68" s="1"/>
      <x:c r="B68" s="1"/>
      <x:c r="C68" s="1" t="str">
        <x:v>Annual borrowing rate</x:v>
      </x:c>
      <x:c r="D68" s="33" t="str">
        <x:v>n.a.</x:v>
      </x:c>
      <x:c r="E68" s="33" t="str">
        <x:v>n.a.</x:v>
      </x:c>
      <x:c r="F68" s="33" t="str">
        <x:v>n.a.</x:v>
      </x:c>
      <x:c r="G68" s="33" t="str">
        <x:v>n.a.</x:v>
      </x:c>
      <x:c r="H68" s="33" t="str">
        <x:v>n.a.</x:v>
      </x:c>
      <x:c r="I68" s="33" t="str">
        <x:v>n.a.</x:v>
      </x:c>
      <x:c r="J68" s="33" t="str">
        <x:v>n.a.</x:v>
      </x:c>
      <x:c r="K68" s="33" t="str">
        <x:v>n.a.</x:v>
      </x:c>
      <x:c r="L68" s="33" t="str">
        <x:v>n.a.</x:v>
      </x:c>
      <x:c r="M68" s="33" t="str">
        <x:v>n.a.</x:v>
      </x:c>
      <x:c r="N68" s="33" t="str">
        <x:v>n.a.</x:v>
      </x:c>
      <x:c r="O68" s="33" t="str">
        <x:v>n.a.</x:v>
      </x:c>
      <x:c r="P68" s="10" t="n">
        <x:f>Assumptions!D11</x:f>
        <x:v>0.056338028169014086</x:v>
      </x:c>
      <x:c r="Q68" s="10" t="n">
        <x:f>Assumptions!D11</x:f>
        <x:v>0.056338028169014086</x:v>
      </x:c>
      <x:c r="R68" s="10" t="n">
        <x:f>Assumptions!D11</x:f>
        <x:v>0.056338028169014086</x:v>
      </x:c>
      <x:c r="S68" s="10" t="n">
        <x:f>Assumptions!D11</x:f>
        <x:v>0.056338028169014086</x:v>
      </x:c>
      <x:c r="T68" s="10" t="n">
        <x:f>Assumptions!E11</x:f>
        <x:v>0.056338028169014086</x:v>
      </x:c>
      <x:c r="U68" s="10" t="n">
        <x:f>Assumptions!E11</x:f>
        <x:v>0.056338028169014086</x:v>
      </x:c>
      <x:c r="V68" s="10" t="n">
        <x:f>Assumptions!E11</x:f>
        <x:v>0.056338028169014086</x:v>
      </x:c>
      <x:c r="W68" s="10" t="n">
        <x:f>Assumptions!E11</x:f>
        <x:v>0.056338028169014086</x:v>
      </x:c>
      <x:c r="X68" s="10" t="n">
        <x:f>Assumptions!F11</x:f>
        <x:v>0.056338028169014086</x:v>
      </x:c>
      <x:c r="Y68" s="10" t="n">
        <x:f>Assumptions!F11</x:f>
        <x:v>0.056338028169014086</x:v>
      </x:c>
      <x:c r="Z68" s="10" t="n">
        <x:f>Assumptions!F11</x:f>
        <x:v>0.056338028169014086</x:v>
      </x:c>
      <x:c r="AA68" s="10" t="n">
        <x:f>Assumptions!F11</x:f>
        <x:v>0.056338028169014086</x:v>
      </x:c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A70" s="1"/>
      <x:c r="B70" s="1"/>
      <x:c r="C70" s="15" t="str">
        <x:v>Scenario operating drivers</x:v>
      </x:c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  <x:c r="AA70" s="16"/>
    </x:row>
    <x:row r="71" ht="21" customHeight="1">
      <x:c r="A71" s="1"/>
      <x:c r="B71" s="1"/>
      <x:c r="C71" s="1" t="str">
        <x:v>Unshocked baseline revenue</x:v>
      </x:c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8" t="n">
        <x:f>'Base Case'!P10</x:f>
        <x:v>247.31666666666666</x:v>
      </x:c>
      <x:c r="Q71" s="8" t="n">
        <x:f>'Base Case'!Q10</x:f>
        <x:v>236.86666666666665</x:v>
      </x:c>
      <x:c r="R71" s="8" t="n">
        <x:f>'Base Case'!R10</x:f>
        <x:v>271.7</x:v>
      </x:c>
      <x:c r="S71" s="8" t="n">
        <x:f>'Base Case'!S10</x:f>
        <x:v>289.1166666666667</x:v>
      </x:c>
      <x:c r="T71" s="8" t="n">
        <x:f>'Base Case'!T10</x:f>
        <x:v>269.5751666666667</x:v>
      </x:c>
      <x:c r="U71" s="8" t="n">
        <x:f>'Base Case'!U10</x:f>
        <x:v>258.1846666666667</x:v>
      </x:c>
      <x:c r="V71" s="8" t="n">
        <x:f>'Base Case'!V10</x:f>
        <x:v>296.1530000000001</x:v>
      </x:c>
      <x:c r="W71" s="8" t="n">
        <x:f>'Base Case'!W10</x:f>
        <x:v>315.1371666666667</x:v>
      </x:c>
      <x:c r="X71" s="8" t="n">
        <x:f>'Base Case'!X10</x:f>
        <x:v>291.14118</x:v>
      </x:c>
      <x:c r="Y71" s="8" t="n">
        <x:f>'Base Case'!Y10</x:f>
        <x:v>278.83944</x:v>
      </x:c>
      <x:c r="Z71" s="8" t="n">
        <x:f>'Base Case'!Z10</x:f>
        <x:v>319.84524000000005</x:v>
      </x:c>
      <x:c r="AA71" s="8" t="n">
        <x:f>'Base Case'!AA10</x:f>
        <x:v>340.34814000000006</x:v>
      </x:c>
    </x:row>
    <x:row r="72" ht="21" customHeight="1">
      <x:c r="A72" s="1"/>
      <x:c r="B72" s="1"/>
      <x:c r="C72" s="1" t="str">
        <x:v>Unshocked baseline COGS</x:v>
      </x:c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8" t="n">
        <x:f>'Base Case'!P11</x:f>
        <x:v>148.39</x:v>
      </x:c>
      <x:c r="Q72" s="8" t="n">
        <x:f>'Base Case'!Q11</x:f>
        <x:v>142.11999999999998</x:v>
      </x:c>
      <x:c r="R72" s="8" t="n">
        <x:f>'Base Case'!R11</x:f>
        <x:v>163.01999999999998</x:v>
      </x:c>
      <x:c r="S72" s="8" t="n">
        <x:f>'Base Case'!S11</x:f>
        <x:v>173.47</x:v>
      </x:c>
      <x:c r="T72" s="8" t="n">
        <x:f>'Base Case'!T11</x:f>
        <x:v>161.7451</x:v>
      </x:c>
      <x:c r="U72" s="8" t="n">
        <x:f>'Base Case'!U11</x:f>
        <x:v>154.91080000000002</x:v>
      </x:c>
      <x:c r="V72" s="8" t="n">
        <x:f>'Base Case'!V11</x:f>
        <x:v>177.69180000000003</x:v>
      </x:c>
      <x:c r="W72" s="8" t="n">
        <x:f>'Base Case'!W11</x:f>
        <x:v>189.0823</x:v>
      </x:c>
      <x:c r="X72" s="8" t="n">
        <x:f>'Base Case'!X11</x:f>
        <x:v>174.684708</x:v>
      </x:c>
      <x:c r="Y72" s="8" t="n">
        <x:f>'Base Case'!Y11</x:f>
        <x:v>167.303664</x:v>
      </x:c>
      <x:c r="Z72" s="8" t="n">
        <x:f>'Base Case'!Z11</x:f>
        <x:v>191.90714400000002</x:v>
      </x:c>
      <x:c r="AA72" s="8" t="n">
        <x:f>'Base Case'!AA11</x:f>
        <x:v>204.20888400000004</x:v>
      </x:c>
    </x:row>
    <x:row r="73" ht="21" customHeight="1">
      <x:c r="A73" s="1"/>
      <x:c r="B73" s="1"/>
      <x:c r="C73" s="1" t="str">
        <x:v>Unshocked baseline cash opex</x:v>
      </x:c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8" t="n">
        <x:f>'Base Case'!P14</x:f>
        <x:v>36.75752083333333</x:v>
      </x:c>
      <x:c r="Q73" s="8" t="n">
        <x:f>'Base Case'!Q14</x:f>
        <x:v>33.95229166666666</x:v>
      </x:c>
      <x:c r="R73" s="8" t="n">
        <x:f>'Base Case'!R14</x:f>
        <x:v>40.64991666666666</x:v>
      </x:c>
      <x:c r="S73" s="8" t="n">
        <x:f>'Base Case'!S14</x:f>
        <x:v>43.615562499999996</x:v>
      </x:c>
      <x:c r="T73" s="8" t="n">
        <x:f>'Base Case'!T14</x:f>
        <x:v>38.803197708333336</x:v>
      </x:c>
      <x:c r="U73" s="8" t="n">
        <x:f>'Base Case'!U14</x:f>
        <x:v>35.74549791666668</x:v>
      </x:c>
      <x:c r="V73" s="8" t="n">
        <x:f>'Base Case'!V14</x:f>
        <x:v>43.045909166666675</x:v>
      </x:c>
      <x:c r="W73" s="8" t="n">
        <x:f>'Base Case'!W14</x:f>
        <x:v>46.278463125</x:v>
      </x:c>
      <x:c r="X73" s="8" t="n">
        <x:f>'Base Case'!X14</x:f>
        <x:v>40.468828525000006</x:v>
      </x:c>
      <x:c r="Y73" s="8" t="n">
        <x:f>'Base Case'!Y14</x:f>
        <x:v>37.166512749999995</x:v>
      </x:c>
      <x:c r="Z73" s="8" t="n">
        <x:f>'Base Case'!Z14</x:f>
        <x:v>45.0509569</x:v>
      </x:c>
      <x:c r="AA73" s="8" t="n">
        <x:f>'Base Case'!AA14</x:f>
        <x:v>48.542115175000006</x:v>
      </x:c>
    </x:row>
    <x:row r="74" ht="21" customHeight="1">
      <x:c r="A74" s="1"/>
      <x:c r="B74" s="1"/>
      <x:c r="C74" s="1" t="str">
        <x:v>Additional material cost</x:v>
      </x:c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0" t="n">
        <x:f>0</x:f>
        <x:v>0</x:v>
      </x:c>
      <x:c r="Q74" s="20" t="n">
        <x:f>0</x:f>
        <x:v>0</x:v>
      </x:c>
      <x:c r="R74" s="20" t="n">
        <x:f>0</x:f>
        <x:v>0</x:v>
      </x:c>
      <x:c r="S74" s="20" t="n">
        <x:f>0</x:f>
        <x:v>0</x:v>
      </x:c>
      <x:c r="T74" s="20" t="n">
        <x:f>0</x:f>
        <x:v>0</x:v>
      </x:c>
      <x:c r="U74" s="20" t="n">
        <x:f>0</x:f>
        <x:v>0</x:v>
      </x:c>
      <x:c r="V74" s="20" t="n">
        <x:f>0</x:f>
        <x:v>0</x:v>
      </x:c>
      <x:c r="W74" s="20" t="n">
        <x:f>0</x:f>
        <x:v>0</x:v>
      </x:c>
      <x:c r="X74" s="20" t="n">
        <x:f>0</x:f>
        <x:v>0</x:v>
      </x:c>
      <x:c r="Y74" s="20" t="n">
        <x:f>0</x:f>
        <x:v>0</x:v>
      </x:c>
      <x:c r="Z74" s="20" t="n">
        <x:f>0</x:f>
        <x:v>0</x:v>
      </x:c>
      <x:c r="AA74" s="20" t="n">
        <x:f>0</x:f>
        <x:v>0</x:v>
      </x:c>
    </x:row>
    <x:row r="75" ht="21" customHeight="1">
      <x:c r="A75" s="1"/>
      <x:c r="B75" s="1"/>
      <x:c r="C75" s="1" t="str">
        <x:v>Recovered material cost in revenue</x:v>
      </x:c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0" t="n">
        <x:f>0</x:f>
        <x:v>0</x:v>
      </x:c>
      <x:c r="Q75" s="20" t="n">
        <x:f>0</x:f>
        <x:v>0</x:v>
      </x:c>
      <x:c r="R75" s="20" t="n">
        <x:f>0</x:f>
        <x:v>0</x:v>
      </x:c>
      <x:c r="S75" s="20" t="n">
        <x:f>0</x:f>
        <x:v>0</x:v>
      </x:c>
      <x:c r="T75" s="20" t="n">
        <x:f>0</x:f>
        <x:v>0</x:v>
      </x:c>
      <x:c r="U75" s="20" t="n">
        <x:f>0</x:f>
        <x:v>0</x:v>
      </x:c>
      <x:c r="V75" s="20" t="n">
        <x:f>0</x:f>
        <x:v>0</x:v>
      </x:c>
      <x:c r="W75" s="20" t="n">
        <x:f>0</x:f>
        <x:v>0</x:v>
      </x:c>
      <x:c r="X75" s="20" t="n">
        <x:f>0</x:f>
        <x:v>0</x:v>
      </x:c>
      <x:c r="Y75" s="20" t="n">
        <x:f>0</x:f>
        <x:v>0</x:v>
      </x:c>
      <x:c r="Z75" s="20" t="n">
        <x:f>0</x:f>
        <x:v>0</x:v>
      </x:c>
      <x:c r="AA75" s="20" t="n">
        <x:f>0</x:f>
        <x:v>0</x:v>
      </x:c>
    </x:row>
    <x:row r="76" ht="21" customHeight="1">
      <x:c r="A76" s="1"/>
      <x:c r="B76" s="1"/>
      <x:c r="C76" s="1" t="str">
        <x:v>Receivable days after shock</x:v>
      </x:c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8" t="n">
        <x:f>Assumptions!D22+Assumptions!D49</x:f>
        <x:v>54.736842105263165</x:v>
      </x:c>
      <x:c r="Q76" s="8" t="n">
        <x:f>Assumptions!E22+Assumptions!D49</x:f>
        <x:v>61.848970251716246</x:v>
      </x:c>
      <x:c r="R76" s="8" t="n">
        <x:f>Assumptions!F22+Assumptions!D49</x:f>
        <x:v>58.07692307692307</x:v>
      </x:c>
      <x:c r="S76" s="8" t="n">
        <x:f>Assumptions!G22+Assumptions!D49</x:f>
        <x:v>58.80116959064327</x:v>
      </x:c>
      <x:c r="T76" s="8" t="n">
        <x:f>Assumptions!D22+Assumptions!E49</x:f>
        <x:v>54.736842105263165</x:v>
      </x:c>
      <x:c r="U76" s="8" t="n">
        <x:f>Assumptions!E22+Assumptions!E49</x:f>
        <x:v>61.848970251716246</x:v>
      </x:c>
      <x:c r="V76" s="8" t="n">
        <x:f>Assumptions!F22+Assumptions!E49</x:f>
        <x:v>58.07692307692307</x:v>
      </x:c>
      <x:c r="W76" s="8" t="n">
        <x:f>Assumptions!G22+Assumptions!E49</x:f>
        <x:v>58.80116959064327</x:v>
      </x:c>
      <x:c r="X76" s="8" t="n">
        <x:f>Assumptions!D22+Assumptions!F49</x:f>
        <x:v>54.736842105263165</x:v>
      </x:c>
      <x:c r="Y76" s="8" t="n">
        <x:f>Assumptions!E22+Assumptions!F49</x:f>
        <x:v>61.848970251716246</x:v>
      </x:c>
      <x:c r="Z76" s="8" t="n">
        <x:f>Assumptions!F22+Assumptions!F49</x:f>
        <x:v>58.07692307692307</x:v>
      </x:c>
      <x:c r="AA76" s="8" t="n">
        <x:f>Assumptions!G22+Assumptions!F49</x:f>
        <x:v>58.80116959064327</x:v>
      </x:c>
    </x:row>
    <x:row r="77" ht="21" customHeight="1">
      <x:c r="A77" s="1"/>
      <x:c r="B77" s="1"/>
      <x:c r="C77" s="1" t="str">
        <x:v>Inventory days after shock</x:v>
      </x:c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8" t="n">
        <x:f>Assumptions!D23+Assumptions!D50</x:f>
        <x:v>120.52631578947367</x:v>
      </x:c>
      <x:c r="Q77" s="8" t="n">
        <x:f>Assumptions!E23+Assumptions!D50</x:f>
        <x:v>136.33104500381387</x:v>
      </x:c>
      <x:c r="R77" s="8" t="n">
        <x:f>Assumptions!F23+Assumptions!D50</x:f>
        <x:v>127.94871794871796</x:v>
      </x:c>
      <x:c r="S77" s="8" t="n">
        <x:f>Assumptions!G23+Assumptions!D50</x:f>
        <x:v>129.55815464587394</x:v>
      </x:c>
      <x:c r="T77" s="8" t="n">
        <x:f>Assumptions!D23+Assumptions!E50</x:f>
        <x:v>120.52631578947367</x:v>
      </x:c>
      <x:c r="U77" s="8" t="n">
        <x:f>Assumptions!E23+Assumptions!E50</x:f>
        <x:v>136.33104500381387</x:v>
      </x:c>
      <x:c r="V77" s="8" t="n">
        <x:f>Assumptions!F23+Assumptions!E50</x:f>
        <x:v>127.94871794871796</x:v>
      </x:c>
      <x:c r="W77" s="8" t="n">
        <x:f>Assumptions!G23+Assumptions!E50</x:f>
        <x:v>129.55815464587394</x:v>
      </x:c>
      <x:c r="X77" s="8" t="n">
        <x:f>Assumptions!D23+Assumptions!F50</x:f>
        <x:v>120.52631578947367</x:v>
      </x:c>
      <x:c r="Y77" s="8" t="n">
        <x:f>Assumptions!E23+Assumptions!F50</x:f>
        <x:v>136.33104500381387</x:v>
      </x:c>
      <x:c r="Z77" s="8" t="n">
        <x:f>Assumptions!F23+Assumptions!F50</x:f>
        <x:v>127.94871794871796</x:v>
      </x:c>
      <x:c r="AA77" s="8" t="n">
        <x:f>Assumptions!G23+Assumptions!F50</x:f>
        <x:v>129.55815464587394</x:v>
      </x:c>
    </x:row>
    <x:row r="78" ht="21" customHeight="1">
      <x:c r="A78" s="1"/>
      <x:c r="B78" s="1"/>
      <x:c r="C78" s="1" t="str">
        <x:v>Payable days after shock</x:v>
      </x:c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8" t="n">
        <x:f>Assumptions!D24+Assumptions!D51</x:f>
        <x:v>78.1578947368421</x:v>
      </x:c>
      <x:c r="Q78" s="8" t="n">
        <x:f>Assumptions!E24+Assumptions!D51</x:f>
        <x:v>80.79633867276888</x:v>
      </x:c>
      <x:c r="R78" s="8" t="n">
        <x:f>Assumptions!F24+Assumptions!D51</x:f>
        <x:v>73.00404858299595</x:v>
      </x:c>
      <x:c r="S78" s="8" t="n">
        <x:f>Assumptions!G24+Assumptions!D51</x:f>
        <x:v>71.73489278752436</x:v>
      </x:c>
      <x:c r="T78" s="8" t="n">
        <x:f>Assumptions!D24+Assumptions!E51</x:f>
        <x:v>78.1578947368421</x:v>
      </x:c>
      <x:c r="U78" s="8" t="n">
        <x:f>Assumptions!E24+Assumptions!E51</x:f>
        <x:v>80.79633867276888</x:v>
      </x:c>
      <x:c r="V78" s="8" t="n">
        <x:f>Assumptions!F24+Assumptions!E51</x:f>
        <x:v>73.00404858299595</x:v>
      </x:c>
      <x:c r="W78" s="8" t="n">
        <x:f>Assumptions!G24+Assumptions!E51</x:f>
        <x:v>71.73489278752436</x:v>
      </x:c>
      <x:c r="X78" s="8" t="n">
        <x:f>Assumptions!D24+Assumptions!F51</x:f>
        <x:v>78.1578947368421</x:v>
      </x:c>
      <x:c r="Y78" s="8" t="n">
        <x:f>Assumptions!E24+Assumptions!F51</x:f>
        <x:v>80.79633867276888</x:v>
      </x:c>
      <x:c r="Z78" s="8" t="n">
        <x:f>Assumptions!F24+Assumptions!F51</x:f>
        <x:v>73.00404858299595</x:v>
      </x:c>
      <x:c r="AA78" s="8" t="n">
        <x:f>Assumptions!G24+Assumptions!F51</x:f>
        <x:v>71.73489278752436</x:v>
      </x:c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A92" s="1"/>
      <x:c r="B92" s="1"/>
      <x:c r="C92" s="36" t="str">
        <x:v>Annual financial statements</x:v>
      </x:c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A93" s="1"/>
      <x:c r="B93" s="1"/>
      <x:c r="C93" s="1" t="str">
        <x:v>USD millions. Income and cash flows sum quarters; balance sheets use Q4.</x:v>
      </x:c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A95" s="1"/>
      <x:c r="B95" s="1"/>
      <x:c r="C95" s="1"/>
      <x:c r="D95" s="40" t="str">
        <x:v>2021</x:v>
      </x:c>
      <x:c r="E95" s="40" t="str">
        <x:v>2022</x:v>
      </x:c>
      <x:c r="F95" s="40" t="str">
        <x:v>2023</x:v>
      </x:c>
      <x:c r="G95" s="40" t="str">
        <x:v>2024</x:v>
      </x:c>
      <x:c r="H95" s="40" t="str">
        <x:v>2025</x:v>
      </x:c>
      <x:c r="I95" s="40" t="str">
        <x:v>2026</x:v>
      </x:c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A96" s="1"/>
      <x:c r="B96" s="1"/>
      <x:c r="C96" s="1"/>
      <x:c r="D96" s="39" t="str">
        <x:v>Historical basis</x:v>
      </x:c>
      <x:c r="E96" s="39" t="str">
        <x:v>Historical basis</x:v>
      </x:c>
      <x:c r="F96" s="39" t="str">
        <x:v>Historical basis</x:v>
      </x:c>
      <x:c r="G96" s="39" t="str">
        <x:v>Policy shift</x:v>
      </x:c>
      <x:c r="H96" s="39" t="str">
        <x:v>Policy shift</x:v>
      </x:c>
      <x:c r="I96" s="39" t="str">
        <x:v>Policy shift</x:v>
      </x:c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A97" s="1"/>
      <x:c r="B97" s="1"/>
      <x:c r="C97" s="15" t="str">
        <x:v>Income statement</x:v>
      </x:c>
      <x:c r="D97" s="16"/>
      <x:c r="E97" s="16"/>
      <x:c r="F97" s="16"/>
      <x:c r="G97" s="16"/>
      <x:c r="H97" s="16"/>
      <x:c r="I97" s="16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A98" s="1"/>
      <x:c r="B98" s="1"/>
      <x:c r="C98" s="27" t="str">
        <x:v>Revenue</x:v>
      </x:c>
      <x:c r="D98" s="31" t="n">
        <x:f>SUM('Scenario 1 Policy'!D10:G10)</x:f>
        <x:v>720.0000000000001</x:v>
      </x:c>
      <x:c r="E98" s="31" t="n">
        <x:f>SUM('Scenario 1 Policy'!H10:K10)</x:f>
        <x:v>850</x:v>
      </x:c>
      <x:c r="F98" s="31" t="n">
        <x:f>SUM('Scenario 1 Policy'!L10:O10)</x:f>
        <x:v>950</x:v>
      </x:c>
      <x:c r="G98" s="31" t="n">
        <x:f>SUM('Scenario 1 Policy'!P10:S10)</x:f>
        <x:v>921.6899999999999</x:v>
      </x:c>
      <x:c r="H98" s="31" t="n">
        <x:f>SUM('Scenario 1 Policy'!T10:W10)</x:f>
        <x:v>1004.6421000000001</x:v>
      </x:c>
      <x:c r="I98" s="31" t="n">
        <x:f>SUM('Scenario 1 Policy'!X10:AA10)</x:f>
        <x:v>1085.013468</x:v>
      </x:c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A99" s="1"/>
      <x:c r="B99" s="1"/>
      <x:c r="C99" s="41" t="str">
        <x:v>Revenue growth</x:v>
      </x:c>
      <x:c r="D99" s="42" t="str">
        <x:f>"n.a."</x:f>
        <x:v>n.a.</x:v>
      </x:c>
      <x:c r="E99" s="42" t="n">
        <x:f>E98/D98-1</x:f>
        <x:v>0.18055555555555536</x:v>
      </x:c>
      <x:c r="F99" s="42" t="n">
        <x:f>F98/E98-1</x:f>
        <x:v>0.11764705882352944</x:v>
      </x:c>
      <x:c r="G99" s="42" t="n">
        <x:f>G98/F98-1</x:f>
        <x:v>-0.02980000000000005</x:v>
      </x:c>
      <x:c r="H99" s="42" t="n">
        <x:f>H98/G98-1</x:f>
        <x:v>0.0900000000000003</x:v>
      </x:c>
      <x:c r="I99" s="42" t="n">
        <x:f>I98/H98-1</x:f>
        <x:v>0.07999999999999985</x:v>
      </x:c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A100" s="1"/>
      <x:c r="B100" s="1"/>
      <x:c r="C100" s="1" t="str">
        <x:v>Cost of goods sold</x:v>
      </x:c>
      <x:c r="D100" s="2" t="n">
        <x:f>SUM('Scenario 1 Policy'!D11:G11)</x:f>
        <x:v>432</x:v>
      </x:c>
      <x:c r="E100" s="2" t="n">
        <x:f>SUM('Scenario 1 Policy'!H11:K11)</x:f>
        <x:v>510</x:v>
      </x:c>
      <x:c r="F100" s="2" t="n">
        <x:f>SUM('Scenario 1 Policy'!L11:O11)</x:f>
        <x:v>570</x:v>
      </x:c>
      <x:c r="G100" s="2" t="n">
        <x:f>SUM('Scenario 1 Policy'!P11:S11)</x:f>
        <x:v>564.3</x:v>
      </x:c>
      <x:c r="H100" s="2" t="n">
        <x:f>SUM('Scenario 1 Policy'!T11:W11)</x:f>
        <x:v>615.0870000000001</x:v>
      </x:c>
      <x:c r="I100" s="2" t="n">
        <x:f>SUM('Scenario 1 Policy'!X11:AA11)</x:f>
        <x:v>664.29396</x:v>
      </x:c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A101" s="1"/>
      <x:c r="B101" s="1"/>
      <x:c r="C101" s="27" t="str">
        <x:v>Gross profit</x:v>
      </x:c>
      <x:c r="D101" s="31" t="n">
        <x:f>SUM('Scenario 1 Policy'!D12:G12)</x:f>
        <x:v>288</x:v>
      </x:c>
      <x:c r="E101" s="31" t="n">
        <x:f>SUM('Scenario 1 Policy'!H12:K12)</x:f>
        <x:v>340</x:v>
      </x:c>
      <x:c r="F101" s="31" t="n">
        <x:f>SUM('Scenario 1 Policy'!L12:O12)</x:f>
        <x:v>380</x:v>
      </x:c>
      <x:c r="G101" s="31" t="n">
        <x:f>SUM('Scenario 1 Policy'!P12:S12)</x:f>
        <x:v>357.3900000000001</x:v>
      </x:c>
      <x:c r="H101" s="31" t="n">
        <x:f>SUM('Scenario 1 Policy'!T12:W12)</x:f>
        <x:v>389.55510000000015</x:v>
      </x:c>
      <x:c r="I101" s="31" t="n">
        <x:f>SUM('Scenario 1 Policy'!X12:AA12)</x:f>
        <x:v>420.7195080000001</x:v>
      </x:c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A102" s="1"/>
      <x:c r="B102" s="1"/>
      <x:c r="C102" s="41" t="str">
        <x:v>Gross margin</x:v>
      </x:c>
      <x:c r="D102" s="42" t="n">
        <x:f>D101/D98</x:f>
        <x:v>0.3999999999999999</x:v>
      </x:c>
      <x:c r="E102" s="42" t="n">
        <x:f>E101/E98</x:f>
        <x:v>0.4</x:v>
      </x:c>
      <x:c r="F102" s="42" t="n">
        <x:f>F101/F98</x:f>
        <x:v>0.4</x:v>
      </x:c>
      <x:c r="G102" s="42" t="n">
        <x:f>G101/G98</x:f>
        <x:v>0.3877551020408165</x:v>
      </x:c>
      <x:c r="H102" s="42" t="n">
        <x:f>H101/H98</x:f>
        <x:v>0.3877551020408164</x:v>
      </x:c>
      <x:c r="I102" s="42" t="n">
        <x:f>I101/I98</x:f>
        <x:v>0.38775510204081637</x:v>
      </x:c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A103" s="1"/>
      <x:c r="B103" s="1"/>
      <x:c r="C103" s="1" t="str">
        <x:v>Operating expenses</x:v>
      </x:c>
      <x:c r="D103" s="2" t="n">
        <x:f>SUM('Scenario 1 Policy'!D13:G13)</x:f>
        <x:v>150</x:v>
      </x:c>
      <x:c r="E103" s="2" t="n">
        <x:f>SUM('Scenario 1 Policy'!H13:K13)</x:f>
        <x:v>180</x:v>
      </x:c>
      <x:c r="F103" s="2" t="n">
        <x:f>SUM('Scenario 1 Policy'!L13:O13)</x:f>
        <x:v>200</x:v>
      </x:c>
      <x:c r="G103" s="2" t="n">
        <x:f>SUM('Scenario 1 Policy'!P13:S13)</x:f>
        <x:v>215.35074125</x:v>
      </x:c>
      <x:c r="H103" s="2" t="n">
        <x:f>SUM('Scenario 1 Policy'!T13:W13)</x:f>
        <x:v>234.88380796250001</x:v>
      </x:c>
      <x:c r="I103" s="2" t="n">
        <x:f>SUM('Scenario 1 Policy'!X13:AA13)</x:f>
        <x:v>253.84714759950003</x:v>
      </x:c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A104" s="1"/>
      <x:c r="B104" s="1"/>
      <x:c r="C104" s="27" t="str">
        <x:v>Operating income</x:v>
      </x:c>
      <x:c r="D104" s="31" t="n">
        <x:f>SUM('Scenario 1 Policy'!D16:G16)</x:f>
        <x:v>138</x:v>
      </x:c>
      <x:c r="E104" s="31" t="n">
        <x:f>SUM('Scenario 1 Policy'!H16:K16)</x:f>
        <x:v>160</x:v>
      </x:c>
      <x:c r="F104" s="31" t="n">
        <x:f>SUM('Scenario 1 Policy'!L16:O16)</x:f>
        <x:v>179.99999999999997</x:v>
      </x:c>
      <x:c r="G104" s="31" t="n">
        <x:f>SUM('Scenario 1 Policy'!P16:S16)</x:f>
        <x:v>142.03925875000004</x:v>
      </x:c>
      <x:c r="H104" s="31" t="n">
        <x:f>SUM('Scenario 1 Policy'!T16:W16)</x:f>
        <x:v>154.67129203750017</x:v>
      </x:c>
      <x:c r="I104" s="31" t="n">
        <x:f>SUM('Scenario 1 Policy'!X16:AA16)</x:f>
        <x:v>166.87236040050004</x:v>
      </x:c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A105" s="1"/>
      <x:c r="B105" s="1"/>
      <x:c r="C105" s="41" t="str">
        <x:v>Operating margin</x:v>
      </x:c>
      <x:c r="D105" s="42" t="n">
        <x:f>D104/D98</x:f>
        <x:v>0.19166666666666662</x:v>
      </x:c>
      <x:c r="E105" s="42" t="n">
        <x:f>E104/E98</x:f>
        <x:v>0.18823529411764706</x:v>
      </x:c>
      <x:c r="F105" s="42" t="n">
        <x:f>F104/F98</x:f>
        <x:v>0.1894736842105263</x:v>
      </x:c>
      <x:c r="G105" s="42" t="n">
        <x:f>G104/G98</x:f>
        <x:v>0.15410741002940256</x:v>
      </x:c>
      <x:c r="H105" s="42" t="n">
        <x:f>H104/H98</x:f>
        <x:v>0.15395661005795014</x:v>
      </x:c>
      <x:c r="I105" s="42" t="n">
        <x:f>I104/I98</x:f>
        <x:v>0.15379750143387164</x:v>
      </x:c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A106" s="1"/>
      <x:c r="B106" s="1"/>
      <x:c r="C106" s="1" t="str">
        <x:v>Interest expense</x:v>
      </x:c>
      <x:c r="D106" s="2" t="n">
        <x:f>SUM('Scenario 1 Policy'!D17:G17)</x:f>
        <x:v>25</x:v>
      </x:c>
      <x:c r="E106" s="2" t="n">
        <x:f>SUM('Scenario 1 Policy'!H17:K17)</x:f>
        <x:v>22</x:v>
      </x:c>
      <x:c r="F106" s="2" t="n">
        <x:f>SUM('Scenario 1 Policy'!L17:O17)</x:f>
        <x:v>20</x:v>
      </x:c>
      <x:c r="G106" s="2" t="n">
        <x:f>SUM('Scenario 1 Policy'!P17:S17)</x:f>
        <x:v>18.30985915492958</x:v>
      </x:c>
      <x:c r="H106" s="2" t="n">
        <x:f>SUM('Scenario 1 Policy'!T17:W17)</x:f>
        <x:v>15.492957746478876</x:v>
      </x:c>
      <x:c r="I106" s="2" t="n">
        <x:f>SUM('Scenario 1 Policy'!X17:AA17)</x:f>
        <x:v>12.676056338028168</x:v>
      </x:c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A107" s="1"/>
      <x:c r="B107" s="1"/>
      <x:c r="C107" s="1" t="str">
        <x:v>Earnings before tax</x:v>
      </x:c>
      <x:c r="D107" s="2" t="n">
        <x:f>SUM('Scenario 1 Policy'!D18:G18)</x:f>
        <x:v>113</x:v>
      </x:c>
      <x:c r="E107" s="2" t="n">
        <x:f>SUM('Scenario 1 Policy'!H18:K18)</x:f>
        <x:v>138</x:v>
      </x:c>
      <x:c r="F107" s="2" t="n">
        <x:f>SUM('Scenario 1 Policy'!L18:O18)</x:f>
        <x:v>160</x:v>
      </x:c>
      <x:c r="G107" s="2" t="n">
        <x:f>SUM('Scenario 1 Policy'!P18:S18)</x:f>
        <x:v>123.72939959507048</x:v>
      </x:c>
      <x:c r="H107" s="2" t="n">
        <x:f>SUM('Scenario 1 Policy'!T18:W18)</x:f>
        <x:v>139.1783342910213</x:v>
      </x:c>
      <x:c r="I107" s="2" t="n">
        <x:f>SUM('Scenario 1 Policy'!X18:AA18)</x:f>
        <x:v>154.19630406247185</x:v>
      </x:c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A108" s="1"/>
      <x:c r="B108" s="1"/>
      <x:c r="C108" s="1" t="str">
        <x:v>Tax expense</x:v>
      </x:c>
      <x:c r="D108" s="2" t="n">
        <x:f>SUM('Scenario 1 Policy'!D19:G19)</x:f>
        <x:v>28</x:v>
      </x:c>
      <x:c r="E108" s="2" t="n">
        <x:f>SUM('Scenario 1 Policy'!H19:K19)</x:f>
        <x:v>34</x:v>
      </x:c>
      <x:c r="F108" s="2" t="n">
        <x:f>SUM('Scenario 1 Policy'!L19:O19)</x:f>
        <x:v>40</x:v>
      </x:c>
      <x:c r="G108" s="2" t="n">
        <x:f>SUM('Scenario 1 Policy'!P19:S19)</x:f>
        <x:v>30.93234989876762</x:v>
      </x:c>
      <x:c r="H108" s="2" t="n">
        <x:f>SUM('Scenario 1 Policy'!T19:W19)</x:f>
        <x:v>34.79458357275532</x:v>
      </x:c>
      <x:c r="I108" s="2" t="n">
        <x:f>SUM('Scenario 1 Policy'!X19:AA19)</x:f>
        <x:v>38.54907601561796</x:v>
      </x:c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A109" s="1"/>
      <x:c r="B109" s="1"/>
      <x:c r="C109" s="27" t="str">
        <x:v>Net income</x:v>
      </x:c>
      <x:c r="D109" s="31" t="n">
        <x:f>SUM('Scenario 1 Policy'!D20:G20)</x:f>
        <x:v>85</x:v>
      </x:c>
      <x:c r="E109" s="31" t="n">
        <x:f>SUM('Scenario 1 Policy'!H20:K20)</x:f>
        <x:v>104</x:v>
      </x:c>
      <x:c r="F109" s="31" t="n">
        <x:f>SUM('Scenario 1 Policy'!L20:O20)</x:f>
        <x:v>120</x:v>
      </x:c>
      <x:c r="G109" s="31" t="n">
        <x:f>SUM('Scenario 1 Policy'!P20:S20)</x:f>
        <x:v>92.79704969630285</x:v>
      </x:c>
      <x:c r="H109" s="31" t="n">
        <x:f>SUM('Scenario 1 Policy'!T20:W20)</x:f>
        <x:v>104.38375071826596</x:v>
      </x:c>
      <x:c r="I109" s="31" t="n">
        <x:f>SUM('Scenario 1 Policy'!X20:AA20)</x:f>
        <x:v>115.64722804685388</x:v>
      </x:c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A110" s="1"/>
      <x:c r="B110" s="1"/>
      <x:c r="C110" s="41" t="str">
        <x:v>Net margin</x:v>
      </x:c>
      <x:c r="D110" s="42" t="n">
        <x:f>D109/D98</x:f>
        <x:v>0.11805555555555554</x:v>
      </x:c>
      <x:c r="E110" s="42" t="n">
        <x:f>E109/E98</x:f>
        <x:v>0.1223529411764706</x:v>
      </x:c>
      <x:c r="F110" s="42" t="n">
        <x:f>F109/F98</x:f>
        <x:v>0.12631578947368421</x:v>
      </x:c>
      <x:c r="G110" s="42" t="n">
        <x:f>G109/G98</x:f>
        <x:v>0.10068141099100875</x:v>
      </x:c>
      <x:c r="H110" s="42" t="n">
        <x:f>H109/H98</x:f>
        <x:v>0.10390142989057093</x:v>
      </x:c>
      <x:c r="I110" s="42" t="n">
        <x:f>I109/I98</x:f>
        <x:v>0.10658598391412213</x:v>
      </x:c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 ht="21" customHeight="1">
      <x:c r="A112" s="1"/>
      <x:c r="B112" s="1"/>
      <x:c r="C112" s="15" t="str">
        <x:v>Balance sheet at year-end</x:v>
      </x:c>
      <x:c r="D112" s="16"/>
      <x:c r="E112" s="16"/>
      <x:c r="F112" s="16"/>
      <x:c r="G112" s="16"/>
      <x:c r="H112" s="16"/>
      <x:c r="I112" s="16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 ht="21" customHeight="1">
      <x:c r="A113" s="1"/>
      <x:c r="B113" s="1"/>
      <x:c r="C113" s="1" t="str">
        <x:v>Cash</x:v>
      </x:c>
      <x:c r="D113" s="2" t="n">
        <x:f>'Scenario 1 Policy'!G23</x:f>
        <x:v>59.8</x:v>
      </x:c>
      <x:c r="E113" s="2" t="n">
        <x:f>'Scenario 1 Policy'!K23</x:f>
        <x:v>130.8</x:v>
      </x:c>
      <x:c r="F113" s="2" t="n">
        <x:f>'Scenario 1 Policy'!O23</x:f>
        <x:v>210.8</x:v>
      </x:c>
      <x:c r="G113" s="2" t="n">
        <x:f>'Scenario 1 Policy'!S23</x:f>
        <x:v>183.0142332711821</x:v>
      </x:c>
      <x:c r="H113" s="2" t="n">
        <x:f>'Scenario 1 Policy'!W23</x:f>
        <x:v>175.92023884452044</x:v>
      </x:c>
      <x:c r="I113" s="2" t="n">
        <x:f>'Scenario 1 Policy'!AA23</x:f>
        <x:v>183.5370773824371</x:v>
      </x:c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 ht="21" customHeight="1">
      <x:c r="A114" s="1"/>
      <x:c r="B114" s="1"/>
      <x:c r="C114" s="1" t="str">
        <x:v>Accounts receivable</x:v>
      </x:c>
      <x:c r="D114" s="2" t="n">
        <x:f>'Scenario 1 Policy'!G24</x:f>
        <x:v>110</x:v>
      </x:c>
      <x:c r="E114" s="2" t="n">
        <x:f>'Scenario 1 Policy'!K24</x:f>
        <x:v>130</x:v>
      </x:c>
      <x:c r="F114" s="2" t="n">
        <x:f>'Scenario 1 Policy'!O24</x:f>
        <x:v>150</x:v>
      </x:c>
      <x:c r="G114" s="2" t="n">
        <x:f>'Scenario 1 Policy'!S24</x:f>
        <x:v>162.98207789855073</x:v>
      </x:c>
      <x:c r="H114" s="2" t="n">
        <x:f>'Scenario 1 Policy'!W24</x:f>
        <x:v>177.65046490942032</x:v>
      </x:c>
      <x:c r="I114" s="2" t="n">
        <x:f>'Scenario 1 Policy'!AA24</x:f>
        <x:v>191.86250210217392</x:v>
      </x:c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 ht="21" customHeight="1">
      <x:c r="A115" s="1"/>
      <x:c r="B115" s="1"/>
      <x:c r="C115" s="1" t="str">
        <x:v>Inventory</x:v>
      </x:c>
      <x:c r="D115" s="2" t="n">
        <x:f>'Scenario 1 Policy'!G25</x:f>
        <x:v>150</x:v>
      </x:c>
      <x:c r="E115" s="2" t="n">
        <x:f>'Scenario 1 Policy'!K25</x:f>
        <x:v>180</x:v>
      </x:c>
      <x:c r="F115" s="2" t="n">
        <x:f>'Scenario 1 Policy'!O25</x:f>
        <x:v>200</x:v>
      </x:c>
      <x:c r="G115" s="2" t="n">
        <x:f>'Scenario 1 Policy'!S25</x:f>
        <x:v>219.8587801932367</x:v>
      </x:c>
      <x:c r="H115" s="2" t="n">
        <x:f>'Scenario 1 Policy'!W25</x:f>
        <x:v>239.646070410628</x:v>
      </x:c>
      <x:c r="I115" s="2" t="n">
        <x:f>'Scenario 1 Policy'!AA25</x:f>
        <x:v>258.8177560434783</x:v>
      </x:c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 ht="21" customHeight="1">
      <x:c r="A116" s="1"/>
      <x:c r="B116" s="1"/>
      <x:c r="C116" s="27" t="str">
        <x:v>Total current assets</x:v>
      </x:c>
      <x:c r="D116" s="31" t="n">
        <x:f>'Scenario 1 Policy'!G26</x:f>
        <x:v>319.8</x:v>
      </x:c>
      <x:c r="E116" s="31" t="n">
        <x:f>'Scenario 1 Policy'!K26</x:f>
        <x:v>440.8</x:v>
      </x:c>
      <x:c r="F116" s="31" t="n">
        <x:f>'Scenario 1 Policy'!O26</x:f>
        <x:v>560.8</x:v>
      </x:c>
      <x:c r="G116" s="31" t="n">
        <x:f>'Scenario 1 Policy'!S26</x:f>
        <x:v>565.8550913629696</x:v>
      </x:c>
      <x:c r="H116" s="31" t="n">
        <x:f>'Scenario 1 Policy'!W26</x:f>
        <x:v>593.2167741645687</x:v>
      </x:c>
      <x:c r="I116" s="31" t="n">
        <x:f>'Scenario 1 Policy'!AA26</x:f>
        <x:v>634.2173355280893</x:v>
      </x:c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 ht="21" customHeight="1">
      <x:c r="A117" s="1"/>
      <x:c r="B117" s="1"/>
      <x:c r="C117" s="1" t="str">
        <x:v>Net property, plant and equipment</x:v>
      </x:c>
      <x:c r="D117" s="2" t="n">
        <x:f>'Scenario 1 Policy'!G27</x:f>
        <x:v>500</x:v>
      </x:c>
      <x:c r="E117" s="2" t="n">
        <x:f>'Scenario 1 Policy'!K27</x:f>
        <x:v>550</x:v>
      </x:c>
      <x:c r="F117" s="2" t="n">
        <x:f>'Scenario 1 Policy'!O27</x:f>
        <x:v>600</x:v>
      </x:c>
      <x:c r="G117" s="2" t="n">
        <x:f>'Scenario 1 Policy'!S27</x:f>
        <x:v>639.4752916666666</x:v>
      </x:c>
      <x:c r="H117" s="2" t="n">
        <x:f>'Scenario 1 Policy'!W27</x:f>
        <x:v>677.4533595833335</x:v>
      </x:c>
      <x:c r="I117" s="2" t="n">
        <x:f>'Scenario 1 Policy'!AA27</x:f>
        <x:v>712.7151729333335</x:v>
      </x:c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 ht="21" customHeight="1">
      <x:c r="A118" s="1"/>
      <x:c r="B118" s="1"/>
      <x:c r="C118" s="27" t="str">
        <x:v>Total assets</x:v>
      </x:c>
      <x:c r="D118" s="31" t="n">
        <x:f>'Scenario 1 Policy'!G28</x:f>
        <x:v>819.8</x:v>
      </x:c>
      <x:c r="E118" s="31" t="n">
        <x:f>'Scenario 1 Policy'!K28</x:f>
        <x:v>990.8</x:v>
      </x:c>
      <x:c r="F118" s="31" t="n">
        <x:f>'Scenario 1 Policy'!O28</x:f>
        <x:v>1160.8</x:v>
      </x:c>
      <x:c r="G118" s="31" t="n">
        <x:f>'Scenario 1 Policy'!S28</x:f>
        <x:v>1205.3303830296363</x:v>
      </x:c>
      <x:c r="H118" s="31" t="n">
        <x:f>'Scenario 1 Policy'!W28</x:f>
        <x:v>1270.6701337479021</x:v>
      </x:c>
      <x:c r="I118" s="31" t="n">
        <x:f>'Scenario 1 Policy'!AA28</x:f>
        <x:v>1346.932508461423</x:v>
      </x:c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 ht="21" customHeight="1">
      <x:c r="A120" s="1"/>
      <x:c r="B120" s="1"/>
      <x:c r="C120" s="1" t="str">
        <x:v>Accounts payable</x:v>
      </x:c>
      <x:c r="D120" s="2" t="n">
        <x:f>'Scenario 1 Policy'!G30</x:f>
        <x:v>80</x:v>
      </x:c>
      <x:c r="E120" s="2" t="n">
        <x:f>'Scenario 1 Policy'!K30</x:f>
        <x:v>100</x:v>
      </x:c>
      <x:c r="F120" s="2" t="n">
        <x:f>'Scenario 1 Policy'!O30</x:f>
        <x:v>120</x:v>
      </x:c>
      <x:c r="G120" s="2" t="n">
        <x:f>'Scenario 1 Policy'!S30</x:f>
        <x:v>121.73333333333332</x:v>
      </x:c>
      <x:c r="H120" s="2" t="n">
        <x:f>'Scenario 1 Policy'!W30</x:f>
        <x:v>132.6893333333333</x:v>
      </x:c>
      <x:c r="I120" s="2" t="n">
        <x:f>'Scenario 1 Policy'!AA30</x:f>
        <x:v>143.30448000000004</x:v>
      </x:c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 ht="21" customHeight="1">
      <x:c r="A121" s="1"/>
      <x:c r="B121" s="1"/>
      <x:c r="C121" s="1" t="str">
        <x:v>Current portion of debt</x:v>
      </x:c>
      <x:c r="D121" s="2" t="n">
        <x:f>'Scenario 1 Policy'!G31</x:f>
        <x:v>30</x:v>
      </x:c>
      <x:c r="E121" s="2" t="n">
        <x:f>'Scenario 1 Policy'!K31</x:f>
        <x:v>40</x:v>
      </x:c>
      <x:c r="F121" s="2" t="n">
        <x:f>'Scenario 1 Policy'!O31</x:f>
        <x:v>50</x:v>
      </x:c>
      <x:c r="G121" s="2" t="n">
        <x:f>'Scenario 1 Policy'!S31</x:f>
        <x:v>50</x:v>
      </x:c>
      <x:c r="H121" s="2" t="n">
        <x:f>'Scenario 1 Policy'!W31</x:f>
        <x:v>50</x:v>
      </x:c>
      <x:c r="I121" s="2" t="n">
        <x:f>'Scenario 1 Policy'!AA31</x:f>
        <x:v>50</x:v>
      </x:c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 ht="21" customHeight="1">
      <x:c r="A122" s="1"/>
      <x:c r="B122" s="1"/>
      <x:c r="C122" s="1" t="str">
        <x:v>Total current liabilities</x:v>
      </x:c>
      <x:c r="D122" s="2" t="n">
        <x:f>'Scenario 1 Policy'!G32</x:f>
        <x:v>110</x:v>
      </x:c>
      <x:c r="E122" s="2" t="n">
        <x:f>'Scenario 1 Policy'!K32</x:f>
        <x:v>140</x:v>
      </x:c>
      <x:c r="F122" s="2" t="n">
        <x:f>'Scenario 1 Policy'!O32</x:f>
        <x:v>170</x:v>
      </x:c>
      <x:c r="G122" s="2" t="n">
        <x:f>'Scenario 1 Policy'!S32</x:f>
        <x:v>171.73333333333332</x:v>
      </x:c>
      <x:c r="H122" s="2" t="n">
        <x:f>'Scenario 1 Policy'!W32</x:f>
        <x:v>182.6893333333333</x:v>
      </x:c>
      <x:c r="I122" s="2" t="n">
        <x:f>'Scenario 1 Policy'!AA32</x:f>
        <x:v>193.30448000000004</x:v>
      </x:c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 ht="21" customHeight="1">
      <x:c r="A123" s="1"/>
      <x:c r="B123" s="1"/>
      <x:c r="C123" s="1" t="str">
        <x:v>Long-term debt</x:v>
      </x:c>
      <x:c r="D123" s="2" t="n">
        <x:f>'Scenario 1 Policy'!G33</x:f>
        <x:v>350</x:v>
      </x:c>
      <x:c r="E123" s="2" t="n">
        <x:f>'Scenario 1 Policy'!K33</x:f>
        <x:v>320</x:v>
      </x:c>
      <x:c r="F123" s="2" t="n">
        <x:f>'Scenario 1 Policy'!O33</x:f>
        <x:v>300</x:v>
      </x:c>
      <x:c r="G123" s="2" t="n">
        <x:f>'Scenario 1 Policy'!S33</x:f>
        <x:v>250</x:v>
      </x:c>
      <x:c r="H123" s="2" t="n">
        <x:f>'Scenario 1 Policy'!W33</x:f>
        <x:v>200</x:v>
      </x:c>
      <x:c r="I123" s="2" t="n">
        <x:f>'Scenario 1 Policy'!AA33</x:f>
        <x:v>150</x:v>
      </x:c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 ht="21" customHeight="1">
      <x:c r="A124" s="1"/>
      <x:c r="B124" s="1"/>
      <x:c r="C124" s="27" t="str">
        <x:v>Total liabilities</x:v>
      </x:c>
      <x:c r="D124" s="31" t="n">
        <x:f>'Scenario 1 Policy'!G34</x:f>
        <x:v>460</x:v>
      </x:c>
      <x:c r="E124" s="31" t="n">
        <x:f>'Scenario 1 Policy'!K34</x:f>
        <x:v>460</x:v>
      </x:c>
      <x:c r="F124" s="31" t="n">
        <x:f>'Scenario 1 Policy'!O34</x:f>
        <x:v>470</x:v>
      </x:c>
      <x:c r="G124" s="31" t="n">
        <x:f>'Scenario 1 Policy'!S34</x:f>
        <x:v>421.73333333333335</x:v>
      </x:c>
      <x:c r="H124" s="31" t="n">
        <x:f>'Scenario 1 Policy'!W34</x:f>
        <x:v>382.6893333333333</x:v>
      </x:c>
      <x:c r="I124" s="31" t="n">
        <x:f>'Scenario 1 Policy'!AA34</x:f>
        <x:v>343.30448</x:v>
      </x:c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 ht="21" customHeight="1">
      <x:c r="A125" s="1"/>
      <x:c r="B125" s="1"/>
      <x:c r="C125" s="1" t="str">
        <x:v>Common stock</x:v>
      </x:c>
      <x:c r="D125" s="2" t="n">
        <x:f>'Scenario 1 Policy'!G35</x:f>
        <x:v>158</x:v>
      </x:c>
      <x:c r="E125" s="2" t="n">
        <x:f>'Scenario 1 Policy'!K35</x:f>
        <x:v>225</x:v>
      </x:c>
      <x:c r="F125" s="2" t="n">
        <x:f>'Scenario 1 Policy'!O35</x:f>
        <x:v>265</x:v>
      </x:c>
      <x:c r="G125" s="2" t="n">
        <x:f>'Scenario 1 Policy'!S35</x:f>
        <x:v>265</x:v>
      </x:c>
      <x:c r="H125" s="2" t="n">
        <x:f>'Scenario 1 Policy'!W35</x:f>
        <x:v>265</x:v>
      </x:c>
      <x:c r="I125" s="2" t="n">
        <x:f>'Scenario 1 Policy'!AA35</x:f>
        <x:v>265</x:v>
      </x:c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 ht="21" customHeight="1">
      <x:c r="A126" s="1"/>
      <x:c r="B126" s="1"/>
      <x:c r="C126" s="1" t="str">
        <x:v>Retained earnings</x:v>
      </x:c>
      <x:c r="D126" s="2" t="n">
        <x:f>'Scenario 1 Policy'!G36</x:f>
        <x:v>202</x:v>
      </x:c>
      <x:c r="E126" s="2" t="n">
        <x:f>'Scenario 1 Policy'!K36</x:f>
        <x:v>306</x:v>
      </x:c>
      <x:c r="F126" s="2" t="n">
        <x:f>'Scenario 1 Policy'!O36</x:f>
        <x:v>426</x:v>
      </x:c>
      <x:c r="G126" s="2" t="n">
        <x:f>'Scenario 1 Policy'!S36</x:f>
        <x:v>518.7970496963029</x:v>
      </x:c>
      <x:c r="H126" s="2" t="n">
        <x:f>'Scenario 1 Policy'!W36</x:f>
        <x:v>623.1808004145688</x:v>
      </x:c>
      <x:c r="I126" s="2" t="n">
        <x:f>'Scenario 1 Policy'!AA36</x:f>
        <x:v>738.8280284614227</x:v>
      </x:c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 ht="21" customHeight="1">
      <x:c r="A127" s="1"/>
      <x:c r="B127" s="1"/>
      <x:c r="C127" s="1" t="str">
        <x:v>Unresolved opening equity difference</x:v>
      </x:c>
      <x:c r="D127" s="2" t="n">
        <x:f>'Scenario 1 Policy'!G37</x:f>
        <x:v>-0.2</x:v>
      </x:c>
      <x:c r="E127" s="2" t="n">
        <x:f>'Scenario 1 Policy'!K37</x:f>
        <x:v>-0.2</x:v>
      </x:c>
      <x:c r="F127" s="2" t="n">
        <x:f>'Scenario 1 Policy'!O37</x:f>
        <x:v>-0.2</x:v>
      </x:c>
      <x:c r="G127" s="2" t="n">
        <x:f>'Scenario 1 Policy'!S37</x:f>
        <x:v>-0.2</x:v>
      </x:c>
      <x:c r="H127" s="2" t="n">
        <x:f>'Scenario 1 Policy'!W37</x:f>
        <x:v>-0.2</x:v>
      </x:c>
      <x:c r="I127" s="2" t="n">
        <x:f>'Scenario 1 Policy'!AA37</x:f>
        <x:v>-0.2</x:v>
      </x:c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 ht="21" customHeight="1">
      <x:c r="A128" s="1"/>
      <x:c r="B128" s="1"/>
      <x:c r="C128" s="27" t="str">
        <x:v>Total liabilities and equity</x:v>
      </x:c>
      <x:c r="D128" s="31" t="n">
        <x:f>'Scenario 1 Policy'!G38</x:f>
        <x:v>819.8</x:v>
      </x:c>
      <x:c r="E128" s="31" t="n">
        <x:f>'Scenario 1 Policy'!K38</x:f>
        <x:v>990.8</x:v>
      </x:c>
      <x:c r="F128" s="31" t="n">
        <x:f>'Scenario 1 Policy'!O38</x:f>
        <x:v>1160.8</x:v>
      </x:c>
      <x:c r="G128" s="31" t="n">
        <x:f>'Scenario 1 Policy'!S38</x:f>
        <x:v>1205.330383029636</x:v>
      </x:c>
      <x:c r="H128" s="31" t="n">
        <x:f>'Scenario 1 Policy'!W38</x:f>
        <x:v>1270.670133747902</x:v>
      </x:c>
      <x:c r="I128" s="31" t="n">
        <x:f>'Scenario 1 Policy'!AA38</x:f>
        <x:v>1346.9325084614227</x:v>
      </x:c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 ht="21" customHeight="1">
      <x:c r="A130" s="1"/>
      <x:c r="B130" s="1"/>
      <x:c r="C130" s="15" t="str">
        <x:v>Cash flow statement</x:v>
      </x:c>
      <x:c r="D130" s="16"/>
      <x:c r="E130" s="16"/>
      <x:c r="F130" s="16"/>
      <x:c r="G130" s="16"/>
      <x:c r="H130" s="16"/>
      <x:c r="I130" s="16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 ht="21" customHeight="1">
      <x:c r="A131" s="1"/>
      <x:c r="B131" s="1"/>
      <x:c r="C131" s="1" t="str">
        <x:v>Net income</x:v>
      </x:c>
      <x:c r="D131" s="2" t="n">
        <x:f>SUM('Scenario 1 Policy'!D41:G41)</x:f>
        <x:v>85</x:v>
      </x:c>
      <x:c r="E131" s="2" t="n">
        <x:f>SUM('Scenario 1 Policy'!H41:K41)</x:f>
        <x:v>104</x:v>
      </x:c>
      <x:c r="F131" s="2" t="n">
        <x:f>SUM('Scenario 1 Policy'!L41:O41)</x:f>
        <x:v>120</x:v>
      </x:c>
      <x:c r="G131" s="2" t="n">
        <x:f>SUM('Scenario 1 Policy'!P41:S41)</x:f>
        <x:v>92.79704969630285</x:v>
      </x:c>
      <x:c r="H131" s="2" t="n">
        <x:f>SUM('Scenario 1 Policy'!T41:W41)</x:f>
        <x:v>104.38375071826596</x:v>
      </x:c>
      <x:c r="I131" s="2" t="n">
        <x:f>SUM('Scenario 1 Policy'!X41:AA41)</x:f>
        <x:v>115.64722804685388</x:v>
      </x:c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 ht="21" customHeight="1">
      <x:c r="A132" s="1"/>
      <x:c r="B132" s="1"/>
      <x:c r="C132" s="1" t="str">
        <x:v>Reported / modelled noncash add-back</x:v>
      </x:c>
      <x:c r="D132" s="2" t="n">
        <x:f>SUM('Scenario 1 Policy'!D42:G42)</x:f>
        <x:v>0</x:v>
      </x:c>
      <x:c r="E132" s="2" t="n">
        <x:f>SUM('Scenario 1 Policy'!H42:K42)</x:f>
        <x:v>0</x:v>
      </x:c>
      <x:c r="F132" s="2" t="n">
        <x:f>SUM('Scenario 1 Policy'!L42:O42)</x:f>
        <x:v>0</x:v>
      </x:c>
      <x:c r="G132" s="2" t="n">
        <x:f>SUM('Scenario 1 Policy'!P42:S42)</x:f>
        <x:v>65.02470833333334</x:v>
      </x:c>
      <x:c r="H132" s="2" t="n">
        <x:f>SUM('Scenario 1 Policy'!T42:W42)</x:f>
        <x:v>75.92693208333334</x:v>
      </x:c>
      <x:c r="I132" s="2" t="n">
        <x:f>SUM('Scenario 1 Policy'!X42:AA42)</x:f>
        <x:v>87.75558665000001</x:v>
      </x:c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 ht="21" customHeight="1">
      <x:c r="A133" s="1"/>
      <x:c r="B133" s="1"/>
      <x:c r="C133" s="1" t="str">
        <x:v>Cash effect of receivables</x:v>
      </x:c>
      <x:c r="D133" s="2" t="n">
        <x:f>SUM('Scenario 1 Policy'!D43:G43)</x:f>
        <x:v>-18</x:v>
      </x:c>
      <x:c r="E133" s="2" t="n">
        <x:f>SUM('Scenario 1 Policy'!H43:K43)</x:f>
        <x:v>-20</x:v>
      </x:c>
      <x:c r="F133" s="2" t="n">
        <x:f>SUM('Scenario 1 Policy'!L43:O43)</x:f>
        <x:v>-20</x:v>
      </x:c>
      <x:c r="G133" s="2" t="n">
        <x:f>SUM('Scenario 1 Policy'!P43:S43)</x:f>
        <x:v>-12.982077898550727</x:v>
      </x:c>
      <x:c r="H133" s="2" t="n">
        <x:f>SUM('Scenario 1 Policy'!T43:W43)</x:f>
        <x:v>-14.668387010869594</x:v>
      </x:c>
      <x:c r="I133" s="2" t="n">
        <x:f>SUM('Scenario 1 Policy'!X43:AA43)</x:f>
        <x:v>-14.212037192753598</x:v>
      </x:c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 ht="21" customHeight="1">
      <x:c r="A134" s="1"/>
      <x:c r="B134" s="1"/>
      <x:c r="C134" s="1" t="str">
        <x:v>Cash effect of inventory</x:v>
      </x:c>
      <x:c r="D134" s="2" t="n">
        <x:f>SUM('Scenario 1 Policy'!D44:G44)</x:f>
        <x:v>-30</x:v>
      </x:c>
      <x:c r="E134" s="2" t="n">
        <x:f>SUM('Scenario 1 Policy'!H44:K44)</x:f>
        <x:v>-30</x:v>
      </x:c>
      <x:c r="F134" s="2" t="n">
        <x:f>SUM('Scenario 1 Policy'!L44:O44)</x:f>
        <x:v>-20</x:v>
      </x:c>
      <x:c r="G134" s="2" t="n">
        <x:f>SUM('Scenario 1 Policy'!P44:S44)</x:f>
        <x:v>-19.858780193236697</x:v>
      </x:c>
      <x:c r="H134" s="2" t="n">
        <x:f>SUM('Scenario 1 Policy'!T44:W44)</x:f>
        <x:v>-19.787290217391302</x:v>
      </x:c>
      <x:c r="I134" s="2" t="n">
        <x:f>SUM('Scenario 1 Policy'!X44:AA44)</x:f>
        <x:v>-19.171685632850313</x:v>
      </x:c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 ht="21" customHeight="1">
      <x:c r="A135" s="1"/>
      <x:c r="B135" s="1"/>
      <x:c r="C135" s="1" t="str">
        <x:v>Cash effect of payables</x:v>
      </x:c>
      <x:c r="D135" s="2" t="n">
        <x:f>SUM('Scenario 1 Policy'!D45:G45)</x:f>
        <x:v>28.000000000000004</x:v>
      </x:c>
      <x:c r="E135" s="2" t="n">
        <x:f>SUM('Scenario 1 Policy'!H45:K45)</x:f>
        <x:v>20</x:v>
      </x:c>
      <x:c r="F135" s="2" t="n">
        <x:f>SUM('Scenario 1 Policy'!L45:O45)</x:f>
        <x:v>20</x:v>
      </x:c>
      <x:c r="G135" s="2" t="n">
        <x:f>SUM('Scenario 1 Policy'!P45:S45)</x:f>
        <x:v>1.73333333333332</x:v>
      </x:c>
      <x:c r="H135" s="2" t="n">
        <x:f>SUM('Scenario 1 Policy'!T45:W45)</x:f>
        <x:v>10.955999999999989</x:v>
      </x:c>
      <x:c r="I135" s="2" t="n">
        <x:f>SUM('Scenario 1 Policy'!X45:AA45)</x:f>
        <x:v>10.615146666666732</x:v>
      </x:c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 ht="21" customHeight="1">
      <x:c r="A136" s="1"/>
      <x:c r="B136" s="1"/>
      <x:c r="C136" s="27" t="str">
        <x:v>Cash from operations</x:v>
      </x:c>
      <x:c r="D136" s="31" t="n">
        <x:f>SUM('Scenario 1 Policy'!D46:G46)</x:f>
        <x:v>65</x:v>
      </x:c>
      <x:c r="E136" s="31" t="n">
        <x:f>SUM('Scenario 1 Policy'!H46:K46)</x:f>
        <x:v>74</x:v>
      </x:c>
      <x:c r="F136" s="31" t="n">
        <x:f>SUM('Scenario 1 Policy'!L46:O46)</x:f>
        <x:v>99.99999999999999</x:v>
      </x:c>
      <x:c r="G136" s="31" t="n">
        <x:f>SUM('Scenario 1 Policy'!P46:S46)</x:f>
        <x:v>126.71423327118211</x:v>
      </x:c>
      <x:c r="H136" s="31" t="n">
        <x:f>SUM('Scenario 1 Policy'!T46:W46)</x:f>
        <x:v>156.81100557333838</x:v>
      </x:c>
      <x:c r="I136" s="31" t="n">
        <x:f>SUM('Scenario 1 Policy'!X46:AA46)</x:f>
        <x:v>180.6342385379167</x:v>
      </x:c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 ht="21" customHeight="1">
      <x:c r="A137" s="1"/>
      <x:c r="B137" s="1"/>
      <x:c r="C137" s="1" t="str">
        <x:v>Net PP&amp;E investing cash flow</x:v>
      </x:c>
      <x:c r="D137" s="2" t="n">
        <x:f>SUM('Scenario 1 Policy'!D47:G47)</x:f>
        <x:v>-80</x:v>
      </x:c>
      <x:c r="E137" s="2" t="n">
        <x:f>SUM('Scenario 1 Policy'!H47:K47)</x:f>
        <x:v>-50</x:v>
      </x:c>
      <x:c r="F137" s="2" t="n">
        <x:f>SUM('Scenario 1 Policy'!L47:O47)</x:f>
        <x:v>-50</x:v>
      </x:c>
      <x:c r="G137" s="2" t="n">
        <x:f>SUM('Scenario 1 Policy'!P47:S47)</x:f>
        <x:v>-104.5</x:v>
      </x:c>
      <x:c r="H137" s="2" t="n">
        <x:f>SUM('Scenario 1 Policy'!T47:W47)</x:f>
        <x:v>-113.90500000000002</x:v>
      </x:c>
      <x:c r="I137" s="2" t="n">
        <x:f>SUM('Scenario 1 Policy'!X47:AA47)</x:f>
        <x:v>-123.01740000000001</x:v>
      </x:c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 ht="21" customHeight="1">
      <x:c r="A138" s="1"/>
      <x:c r="B138" s="1"/>
      <x:c r="C138" s="27" t="str">
        <x:v>Cash from investing</x:v>
      </x:c>
      <x:c r="D138" s="31" t="n">
        <x:f>SUM('Scenario 1 Policy'!D48:G48)</x:f>
        <x:v>-80</x:v>
      </x:c>
      <x:c r="E138" s="31" t="n">
        <x:f>SUM('Scenario 1 Policy'!H48:K48)</x:f>
        <x:v>-50</x:v>
      </x:c>
      <x:c r="F138" s="31" t="n">
        <x:f>SUM('Scenario 1 Policy'!L48:O48)</x:f>
        <x:v>-50</x:v>
      </x:c>
      <x:c r="G138" s="31" t="n">
        <x:f>SUM('Scenario 1 Policy'!P48:S48)</x:f>
        <x:v>-104.5</x:v>
      </x:c>
      <x:c r="H138" s="31" t="n">
        <x:f>SUM('Scenario 1 Policy'!T48:W48)</x:f>
        <x:v>-113.90500000000002</x:v>
      </x:c>
      <x:c r="I138" s="31" t="n">
        <x:f>SUM('Scenario 1 Policy'!X48:AA48)</x:f>
        <x:v>-123.01740000000001</x:v>
      </x:c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 ht="21" customHeight="1">
      <x:c r="A139" s="1"/>
      <x:c r="B139" s="1"/>
      <x:c r="C139" s="1" t="str">
        <x:v>Net cash borrowing / repayment</x:v>
      </x:c>
      <x:c r="D139" s="2" t="n">
        <x:f>SUM('Scenario 1 Policy'!D49:G49)</x:f>
        <x:v>-5</x:v>
      </x:c>
      <x:c r="E139" s="2" t="n">
        <x:f>SUM('Scenario 1 Policy'!H49:K49)</x:f>
        <x:v>-20</x:v>
      </x:c>
      <x:c r="F139" s="2" t="n">
        <x:f>SUM('Scenario 1 Policy'!L49:O49)</x:f>
        <x:v>-10</x:v>
      </x:c>
      <x:c r="G139" s="2" t="n">
        <x:f>SUM('Scenario 1 Policy'!P49:S49)</x:f>
        <x:v>-50</x:v>
      </x:c>
      <x:c r="H139" s="2" t="n">
        <x:f>SUM('Scenario 1 Policy'!T49:W49)</x:f>
        <x:v>-50</x:v>
      </x:c>
      <x:c r="I139" s="2" t="n">
        <x:f>SUM('Scenario 1 Policy'!X49:AA49)</x:f>
        <x:v>-50</x:v>
      </x:c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 ht="21" customHeight="1">
      <x:c r="A140" s="1"/>
      <x:c r="B140" s="1"/>
      <x:c r="C140" s="1" t="str">
        <x:v>Net cash equity financing</x:v>
      </x:c>
      <x:c r="D140" s="2" t="n">
        <x:f>SUM('Scenario 1 Policy'!D50:G50)</x:f>
        <x:v>58</x:v>
      </x:c>
      <x:c r="E140" s="2" t="n">
        <x:f>SUM('Scenario 1 Policy'!H50:K50)</x:f>
        <x:v>67</x:v>
      </x:c>
      <x:c r="F140" s="2" t="n">
        <x:f>SUM('Scenario 1 Policy'!L50:O50)</x:f>
        <x:v>40</x:v>
      </x:c>
      <x:c r="G140" s="2" t="n">
        <x:f>SUM('Scenario 1 Policy'!P50:S50)</x:f>
        <x:v>0</x:v>
      </x:c>
      <x:c r="H140" s="2" t="n">
        <x:f>SUM('Scenario 1 Policy'!T50:W50)</x:f>
        <x:v>0</x:v>
      </x:c>
      <x:c r="I140" s="2" t="n">
        <x:f>SUM('Scenario 1 Policy'!X50:AA50)</x:f>
        <x:v>0</x:v>
      </x:c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 ht="21" customHeight="1">
      <x:c r="A141" s="1"/>
      <x:c r="B141" s="1"/>
      <x:c r="C141" s="1" t="str">
        <x:v>Cash dividends paid</x:v>
      </x:c>
      <x:c r="D141" s="2" t="n">
        <x:f>SUM('Scenario 1 Policy'!D51:G51)</x:f>
        <x:v>0</x:v>
      </x:c>
      <x:c r="E141" s="2" t="n">
        <x:f>SUM('Scenario 1 Policy'!H51:K51)</x:f>
        <x:v>0</x:v>
      </x:c>
      <x:c r="F141" s="2" t="n">
        <x:f>SUM('Scenario 1 Policy'!L51:O51)</x:f>
        <x:v>0</x:v>
      </x:c>
      <x:c r="G141" s="2" t="n">
        <x:f>SUM('Scenario 1 Policy'!P51:S51)</x:f>
        <x:v>0</x:v>
      </x:c>
      <x:c r="H141" s="2" t="n">
        <x:f>SUM('Scenario 1 Policy'!T51:W51)</x:f>
        <x:v>0</x:v>
      </x:c>
      <x:c r="I141" s="2" t="n">
        <x:f>SUM('Scenario 1 Policy'!X51:AA51)</x:f>
        <x:v>0</x:v>
      </x:c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 ht="21" customHeight="1">
      <x:c r="A142" s="1"/>
      <x:c r="B142" s="1"/>
      <x:c r="C142" s="27" t="str">
        <x:v>Cash from financing</x:v>
      </x:c>
      <x:c r="D142" s="31" t="n">
        <x:f>SUM('Scenario 1 Policy'!D52:G52)</x:f>
        <x:v>53</x:v>
      </x:c>
      <x:c r="E142" s="31" t="n">
        <x:f>SUM('Scenario 1 Policy'!H52:K52)</x:f>
        <x:v>47</x:v>
      </x:c>
      <x:c r="F142" s="31" t="n">
        <x:f>SUM('Scenario 1 Policy'!L52:O52)</x:f>
        <x:v>30</x:v>
      </x:c>
      <x:c r="G142" s="31" t="n">
        <x:f>SUM('Scenario 1 Policy'!P52:S52)</x:f>
        <x:v>-50</x:v>
      </x:c>
      <x:c r="H142" s="31" t="n">
        <x:f>SUM('Scenario 1 Policy'!T52:W52)</x:f>
        <x:v>-50</x:v>
      </x:c>
      <x:c r="I142" s="31" t="n">
        <x:f>SUM('Scenario 1 Policy'!X52:AA52)</x:f>
        <x:v>-50</x:v>
      </x:c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 ht="21" customHeight="1">
      <x:c r="A143" s="1"/>
      <x:c r="B143" s="1"/>
      <x:c r="C143" s="27" t="str">
        <x:v>Change in cash</x:v>
      </x:c>
      <x:c r="D143" s="31" t="n">
        <x:f>SUM('Scenario 1 Policy'!D53:G53)</x:f>
        <x:v>38</x:v>
      </x:c>
      <x:c r="E143" s="31" t="n">
        <x:f>SUM('Scenario 1 Policy'!H53:K53)</x:f>
        <x:v>70.99999999999999</x:v>
      </x:c>
      <x:c r="F143" s="31" t="n">
        <x:f>SUM('Scenario 1 Policy'!L53:O53)</x:f>
        <x:v>80</x:v>
      </x:c>
      <x:c r="G143" s="31" t="n">
        <x:f>SUM('Scenario 1 Policy'!P53:S53)</x:f>
        <x:v>-27.78576672881791</x:v>
      </x:c>
      <x:c r="H143" s="31" t="n">
        <x:f>SUM('Scenario 1 Policy'!T53:W53)</x:f>
        <x:v>-7.093994426661638</x:v>
      </x:c>
      <x:c r="I143" s="31" t="n">
        <x:f>SUM('Scenario 1 Policy'!X53:AA53)</x:f>
        <x:v>7.616838537916685</x:v>
      </x:c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 ht="21" customHeight="1">
      <x:c r="A144" s="1"/>
      <x:c r="B144" s="1"/>
      <x:c r="C144" s="1" t="str">
        <x:v>Opening cash</x:v>
      </x:c>
      <x:c r="D144" s="2" t="n">
        <x:f>'Scenario 1 Policy'!D54</x:f>
        <x:v>21.8</x:v>
      </x:c>
      <x:c r="E144" s="2" t="n">
        <x:f>'Scenario 1 Policy'!H54</x:f>
        <x:v>59.8</x:v>
      </x:c>
      <x:c r="F144" s="2" t="n">
        <x:f>'Scenario 1 Policy'!L54</x:f>
        <x:v>130.8</x:v>
      </x:c>
      <x:c r="G144" s="2" t="n">
        <x:f>'Scenario 1 Policy'!P54</x:f>
        <x:v>210.8</x:v>
      </x:c>
      <x:c r="H144" s="2" t="n">
        <x:f>'Scenario 1 Policy'!T54</x:f>
        <x:v>183.0142332711821</x:v>
      </x:c>
      <x:c r="I144" s="2" t="n">
        <x:f>'Scenario 1 Policy'!X54</x:f>
        <x:v>175.92023884452044</x:v>
      </x:c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 ht="21" customHeight="1">
      <x:c r="A145" s="1"/>
      <x:c r="B145" s="1"/>
      <x:c r="C145" s="27" t="str">
        <x:v>Closing cash</x:v>
      </x:c>
      <x:c r="D145" s="31" t="n">
        <x:f>'Scenario 1 Policy'!G55</x:f>
        <x:v>59.8</x:v>
      </x:c>
      <x:c r="E145" s="31" t="n">
        <x:f>'Scenario 1 Policy'!K55</x:f>
        <x:v>130.8</x:v>
      </x:c>
      <x:c r="F145" s="31" t="n">
        <x:f>'Scenario 1 Policy'!O55</x:f>
        <x:v>210.8</x:v>
      </x:c>
      <x:c r="G145" s="31" t="n">
        <x:f>'Scenario 1 Policy'!S55</x:f>
        <x:v>183.0142332711821</x:v>
      </x:c>
      <x:c r="H145" s="31" t="n">
        <x:f>'Scenario 1 Policy'!W55</x:f>
        <x:v>175.92023884452044</x:v>
      </x:c>
      <x:c r="I145" s="31" t="n">
        <x:f>'Scenario 1 Policy'!AA55</x:f>
        <x:v>183.5370773824371</x:v>
      </x:c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 ht="21" customHeight="1">
      <x:c r="A147" s="1"/>
      <x:c r="B147" s="1"/>
      <x:c r="C147" s="15" t="str">
        <x:v>Financing and investment</x:v>
      </x:c>
      <x:c r="D147" s="16"/>
      <x:c r="E147" s="16"/>
      <x:c r="F147" s="16"/>
      <x:c r="G147" s="16"/>
      <x:c r="H147" s="16"/>
      <x:c r="I147" s="16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 ht="21" customHeight="1">
      <x:c r="A148" s="1"/>
      <x:c r="B148" s="1"/>
      <x:c r="C148" s="27" t="str">
        <x:v>Total interest-bearing debt</x:v>
      </x:c>
      <x:c r="D148" s="31" t="n">
        <x:f>D121+D123</x:f>
        <x:v>380</x:v>
      </x:c>
      <x:c r="E148" s="31" t="n">
        <x:f>E121+E123</x:f>
        <x:v>360</x:v>
      </x:c>
      <x:c r="F148" s="31" t="n">
        <x:f>F121+F123</x:f>
        <x:v>350</x:v>
      </x:c>
      <x:c r="G148" s="31" t="n">
        <x:f>G121+G123</x:f>
        <x:v>300</x:v>
      </x:c>
      <x:c r="H148" s="31" t="n">
        <x:f>H121+H123</x:f>
        <x:v>250</x:v>
      </x:c>
      <x:c r="I148" s="31" t="n">
        <x:f>I121+I123</x:f>
        <x:v>200</x:v>
      </x:c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 ht="21" customHeight="1">
      <x:c r="A149" s="1"/>
      <x:c r="B149" s="1"/>
      <x:c r="C149" s="27" t="str">
        <x:v>Net debt / (net cash)</x:v>
      </x:c>
      <x:c r="D149" s="31" t="n">
        <x:f>D148-D113</x:f>
        <x:v>320.2</x:v>
      </x:c>
      <x:c r="E149" s="31" t="n">
        <x:f>E148-E113</x:f>
        <x:v>229.2</x:v>
      </x:c>
      <x:c r="F149" s="31" t="n">
        <x:f>F148-F113</x:f>
        <x:v>139.2</x:v>
      </x:c>
      <x:c r="G149" s="31" t="n">
        <x:f>G148-G113</x:f>
        <x:v>116.98576672881791</x:v>
      </x:c>
      <x:c r="H149" s="31" t="n">
        <x:f>H148-H113</x:f>
        <x:v>74.07976115547956</x:v>
      </x:c>
      <x:c r="I149" s="31" t="n">
        <x:f>I148-I113</x:f>
        <x:v>16.462922617562896</x:v>
      </x:c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 ht="21" customHeight="1">
      <x:c r="A150" s="1"/>
      <x:c r="B150" s="1"/>
      <x:c r="C150" s="1" t="str">
        <x:v>Operating income / interest</x:v>
      </x:c>
      <x:c r="D150" s="43" t="n">
        <x:f>D104/D106</x:f>
        <x:v>5.52</x:v>
      </x:c>
      <x:c r="E150" s="43" t="n">
        <x:f>E104/E106</x:f>
        <x:v>7.2727272727272725</x:v>
      </x:c>
      <x:c r="F150" s="43" t="n">
        <x:f>F104/F106</x:f>
        <x:v>8.999999999999998</x:v>
      </x:c>
      <x:c r="G150" s="43" t="n">
        <x:f>G104/G106</x:f>
        <x:v>7.757528747115386</x:v>
      </x:c>
      <x:c r="H150" s="43" t="n">
        <x:f>H104/H106</x:f>
        <x:v>9.98332884969319</x:v>
      </x:c>
      <x:c r="I150" s="43" t="n">
        <x:f>I104/I106</x:f>
        <x:v>13.16437509826167</x:v>
      </x:c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 ht="21" customHeight="1">
      <x:c r="A151" s="1"/>
      <x:c r="B151" s="1"/>
      <x:c r="C151" s="1" t="str">
        <x:v>Capital expenditure</x:v>
      </x:c>
      <x:c r="D151" s="2" t="str">
        <x:v>n.a.</x:v>
      </x:c>
      <x:c r="E151" s="2" t="str">
        <x:v>n.a.</x:v>
      </x:c>
      <x:c r="F151" s="2" t="str">
        <x:v>n.a.</x:v>
      </x:c>
      <x:c r="G151" s="2" t="n">
        <x:f>SUM('Scenario 1 Policy'!P59:S59)</x:f>
        <x:v>104.5</x:v>
      </x:c>
      <x:c r="H151" s="2" t="n">
        <x:f>SUM('Scenario 1 Policy'!T59:W59)</x:f>
        <x:v>113.90500000000002</x:v>
      </x:c>
      <x:c r="I151" s="2" t="n">
        <x:f>SUM('Scenario 1 Policy'!X59:AA59)</x:f>
        <x:v>123.01740000000001</x:v>
      </x:c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 ht="21" customHeight="1">
      <x:c r="A152" s="1"/>
      <x:c r="B152" s="1"/>
      <x:c r="C152" s="1" t="str">
        <x:v>Depreciation expense</x:v>
      </x:c>
      <x:c r="D152" s="2" t="str">
        <x:v>n.a.</x:v>
      </x:c>
      <x:c r="E152" s="2" t="str">
        <x:v>n.a.</x:v>
      </x:c>
      <x:c r="F152" s="2" t="str">
        <x:v>n.a.</x:v>
      </x:c>
      <x:c r="G152" s="2" t="n">
        <x:f>SUM('Scenario 1 Policy'!P15:S15)</x:f>
        <x:v>65.02470833333334</x:v>
      </x:c>
      <x:c r="H152" s="2" t="n">
        <x:f>SUM('Scenario 1 Policy'!T15:W15)</x:f>
        <x:v>75.92693208333334</x:v>
      </x:c>
      <x:c r="I152" s="2" t="n">
        <x:f>SUM('Scenario 1 Policy'!X15:AA15)</x:f>
        <x:v>87.75558665000001</x:v>
      </x:c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 ht="21" customHeight="1">
      <x:c r="A153" s="1"/>
      <x:c r="B153" s="1"/>
      <x:c r="C153" s="1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 ht="21" customHeight="1">
      <x:c r="A154" s="1"/>
      <x:c r="B154" s="1"/>
      <x:c r="C154" s="1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 ht="21" customHeight="1">
      <x:c r="A155" s="1"/>
      <x:c r="B155" s="1"/>
      <x:c r="C155" s="1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96B95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 t="str">
        <x:v>USD millions. Quarterly statements above; annual statements begin at row 92. Forecast origin: December 2023.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3" t="str">
        <x:v>AST scenario 2 cost volatility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1"/>
      <x:c r="D3" s="19" t="d">
        <x:v>2021-01-01T00:00:00.000Z</x:v>
      </x:c>
      <x:c r="E3" s="19" t="d">
        <x:v>2021-04-01T00:00:00.000Z</x:v>
      </x:c>
      <x:c r="F3" s="19" t="d">
        <x:v>2021-07-01T00:00:00.000Z</x:v>
      </x:c>
      <x:c r="G3" s="19" t="d">
        <x:v>2021-10-01T00:00:00.000Z</x:v>
      </x:c>
      <x:c r="H3" s="19" t="d">
        <x:v>2022-01-01T00:00:00.000Z</x:v>
      </x:c>
      <x:c r="I3" s="19" t="d">
        <x:v>2022-04-01T00:00:00.000Z</x:v>
      </x:c>
      <x:c r="J3" s="19" t="d">
        <x:v>2022-07-01T00:00:00.000Z</x:v>
      </x:c>
      <x:c r="K3" s="19" t="d">
        <x:v>2022-10-01T00:00:00.000Z</x:v>
      </x:c>
      <x:c r="L3" s="19" t="d">
        <x:v>2023-01-01T00:00:00.000Z</x:v>
      </x:c>
      <x:c r="M3" s="19" t="d">
        <x:v>2023-04-01T00:00:00.000Z</x:v>
      </x:c>
      <x:c r="N3" s="19" t="d">
        <x:v>2023-07-01T00:00:00.000Z</x:v>
      </x:c>
      <x:c r="O3" s="19" t="d">
        <x:v>2023-10-01T00:00:00.000Z</x:v>
      </x:c>
      <x:c r="P3" s="19" t="d">
        <x:v>2024-01-01T00:00:00.000Z</x:v>
      </x:c>
      <x:c r="Q3" s="19" t="d">
        <x:v>2024-04-01T00:00:00.000Z</x:v>
      </x:c>
      <x:c r="R3" s="19" t="d">
        <x:v>2024-07-01T00:00:00.000Z</x:v>
      </x:c>
      <x:c r="S3" s="19" t="d">
        <x:v>2024-10-01T00:00:00.000Z</x:v>
      </x:c>
      <x:c r="T3" s="19" t="d">
        <x:v>2025-01-01T00:00:00.000Z</x:v>
      </x:c>
      <x:c r="U3" s="19" t="d">
        <x:v>2025-04-01T00:00:00.000Z</x:v>
      </x:c>
      <x:c r="V3" s="19" t="d">
        <x:v>2025-07-01T00:00:00.000Z</x:v>
      </x:c>
      <x:c r="W3" s="19" t="d">
        <x:v>2025-10-01T00:00:00.000Z</x:v>
      </x:c>
      <x:c r="X3" s="19" t="d">
        <x:v>2026-01-01T00:00:00.000Z</x:v>
      </x:c>
      <x:c r="Y3" s="19" t="d">
        <x:v>2026-04-01T00:00:00.000Z</x:v>
      </x:c>
      <x:c r="Z3" s="19" t="d">
        <x:v>2026-07-01T00:00:00.000Z</x:v>
      </x:c>
      <x:c r="AA3" s="19" t="d">
        <x:v>2026-10-01T00:00:00.000Z</x:v>
      </x:c>
    </x:row>
    <x:row r="4" ht="21" customHeight="1">
      <x:c r="A4" s="1"/>
      <x:c r="B4" s="1"/>
      <x:c r="C4" s="1"/>
      <x:c r="D4" s="22" t="str">
        <x:v>Q1:21</x:v>
      </x:c>
      <x:c r="E4" s="22" t="str">
        <x:v>Q2:21</x:v>
      </x:c>
      <x:c r="F4" s="22" t="str">
        <x:v>Q3:21</x:v>
      </x:c>
      <x:c r="G4" s="22" t="str">
        <x:v>Q4:21</x:v>
      </x:c>
      <x:c r="H4" s="22" t="str">
        <x:v>Q1:22</x:v>
      </x:c>
      <x:c r="I4" s="22" t="str">
        <x:v>Q2:22</x:v>
      </x:c>
      <x:c r="J4" s="22" t="str">
        <x:v>Q3:22</x:v>
      </x:c>
      <x:c r="K4" s="22" t="str">
        <x:v>Q4:22</x:v>
      </x:c>
      <x:c r="L4" s="22" t="str">
        <x:v>Q1:23</x:v>
      </x:c>
      <x:c r="M4" s="22" t="str">
        <x:v>Q2:23</x:v>
      </x:c>
      <x:c r="N4" s="22" t="str">
        <x:v>Q3:23</x:v>
      </x:c>
      <x:c r="O4" s="22" t="str">
        <x:v>Q4:23</x:v>
      </x:c>
      <x:c r="P4" s="35" t="str">
        <x:v>Q1:24</x:v>
      </x:c>
      <x:c r="Q4" s="35" t="str">
        <x:v>Q2:24</x:v>
      </x:c>
      <x:c r="R4" s="35" t="str">
        <x:v>Q3:24</x:v>
      </x:c>
      <x:c r="S4" s="35" t="str">
        <x:v>Q4:24</x:v>
      </x:c>
      <x:c r="T4" s="35" t="str">
        <x:v>Q1:25</x:v>
      </x:c>
      <x:c r="U4" s="35" t="str">
        <x:v>Q2:25</x:v>
      </x:c>
      <x:c r="V4" s="35" t="str">
        <x:v>Q3:25</x:v>
      </x:c>
      <x:c r="W4" s="35" t="str">
        <x:v>Q4:25</x:v>
      </x:c>
      <x:c r="X4" s="35" t="str">
        <x:v>Q1:26</x:v>
      </x:c>
      <x:c r="Y4" s="35" t="str">
        <x:v>Q2:26</x:v>
      </x:c>
      <x:c r="Z4" s="35" t="str">
        <x:v>Q3:26</x:v>
      </x:c>
      <x:c r="AA4" s="35" t="str">
        <x:v>Q4:26</x:v>
      </x:c>
    </x:row>
    <x:row r="5" ht="21" customHeight="1">
      <x:c r="A5" s="1"/>
      <x:c r="B5" s="1"/>
      <x:c r="C5" s="1"/>
      <x:c r="D5" s="22" t="str">
        <x:v>Historical basis</x:v>
      </x:c>
      <x:c r="E5" s="22" t="str">
        <x:v>Historical basis</x:v>
      </x:c>
      <x:c r="F5" s="22" t="str">
        <x:v>Historical basis</x:v>
      </x:c>
      <x:c r="G5" s="22" t="str">
        <x:v>Historical basis</x:v>
      </x:c>
      <x:c r="H5" s="22" t="str">
        <x:v>Historical basis</x:v>
      </x:c>
      <x:c r="I5" s="22" t="str">
        <x:v>Historical basis</x:v>
      </x:c>
      <x:c r="J5" s="22" t="str">
        <x:v>Historical basis</x:v>
      </x:c>
      <x:c r="K5" s="22" t="str">
        <x:v>Historical basis</x:v>
      </x:c>
      <x:c r="L5" s="22" t="str">
        <x:v>Historical basis</x:v>
      </x:c>
      <x:c r="M5" s="22" t="str">
        <x:v>Historical basis</x:v>
      </x:c>
      <x:c r="N5" s="22" t="str">
        <x:v>Historical basis</x:v>
      </x:c>
      <x:c r="O5" s="22" t="str">
        <x:v>Historical basis</x:v>
      </x:c>
      <x:c r="P5" s="35" t="str">
        <x:v>Cost volatility</x:v>
      </x:c>
      <x:c r="Q5" s="35" t="str">
        <x:v>Cost volatility</x:v>
      </x:c>
      <x:c r="R5" s="35" t="str">
        <x:v>Cost volatility</x:v>
      </x:c>
      <x:c r="S5" s="35" t="str">
        <x:v>Cost volatility</x:v>
      </x:c>
      <x:c r="T5" s="35" t="str">
        <x:v>Cost volatility</x:v>
      </x:c>
      <x:c r="U5" s="35" t="str">
        <x:v>Cost volatility</x:v>
      </x:c>
      <x:c r="V5" s="35" t="str">
        <x:v>Cost volatility</x:v>
      </x:c>
      <x:c r="W5" s="35" t="str">
        <x:v>Cost volatility</x:v>
      </x:c>
      <x:c r="X5" s="35" t="str">
        <x:v>Cost volatility</x:v>
      </x:c>
      <x:c r="Y5" s="35" t="str">
        <x:v>Cost volatility</x:v>
      </x:c>
      <x:c r="Z5" s="35" t="str">
        <x:v>Cost volatility</x:v>
      </x:c>
      <x:c r="AA5" s="35" t="str">
        <x:v>Cost volatility</x:v>
      </x:c>
    </x:row>
    <x:row r="6" ht="21" customHeight="1">
      <x:c r="A6" s="1"/>
      <x:c r="B6" s="1"/>
      <x:c r="C6" s="1" t="str">
        <x:v>Days in quarter</x:v>
      </x:c>
      <x:c r="D6" s="1" t="n">
        <x:v>90</x:v>
      </x:c>
      <x:c r="E6" s="1" t="n">
        <x:v>91</x:v>
      </x:c>
      <x:c r="F6" s="1" t="n">
        <x:v>92</x:v>
      </x:c>
      <x:c r="G6" s="1" t="n">
        <x:v>92</x:v>
      </x:c>
      <x:c r="H6" s="1" t="n">
        <x:v>90</x:v>
      </x:c>
      <x:c r="I6" s="1" t="n">
        <x:v>91</x:v>
      </x:c>
      <x:c r="J6" s="1" t="n">
        <x:v>92</x:v>
      </x:c>
      <x:c r="K6" s="1" t="n">
        <x:v>92</x:v>
      </x:c>
      <x:c r="L6" s="1" t="n">
        <x:v>90</x:v>
      </x:c>
      <x:c r="M6" s="1" t="n">
        <x:v>91</x:v>
      </x:c>
      <x:c r="N6" s="1" t="n">
        <x:v>92</x:v>
      </x:c>
      <x:c r="O6" s="1" t="n">
        <x:v>92</x:v>
      </x:c>
      <x:c r="P6" s="1" t="n">
        <x:v>91</x:v>
      </x:c>
      <x:c r="Q6" s="1" t="n">
        <x:v>91</x:v>
      </x:c>
      <x:c r="R6" s="1" t="n">
        <x:v>92</x:v>
      </x:c>
      <x:c r="S6" s="1" t="n">
        <x:v>92</x:v>
      </x:c>
      <x:c r="T6" s="1" t="n">
        <x:v>90</x:v>
      </x:c>
      <x:c r="U6" s="1" t="n">
        <x:v>91</x:v>
      </x:c>
      <x:c r="V6" s="1" t="n">
        <x:v>92</x:v>
      </x:c>
      <x:c r="W6" s="1" t="n">
        <x:v>92</x:v>
      </x:c>
      <x:c r="X6" s="1" t="n">
        <x:v>90</x:v>
      </x:c>
      <x:c r="Y6" s="1" t="n">
        <x:v>91</x:v>
      </x:c>
      <x:c r="Z6" s="1" t="n">
        <x:v>92</x:v>
      </x:c>
      <x:c r="AA6" s="1" t="n">
        <x:v>92</x:v>
      </x:c>
    </x:row>
    <x:row r="7" ht="21" customHeight="1">
      <x:c r="A7" s="1"/>
      <x:c r="B7" s="1"/>
      <x:c r="C7" s="15" t="str">
        <x:v>Income statement</x:v>
      </x:c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  <x:c r="AA7" s="16"/>
    </x:row>
    <x:row r="8" ht="21" customHeight="1">
      <x:c r="A8" s="1"/>
      <x:c r="B8" s="1"/>
      <x:c r="C8" s="1" t="str">
        <x:v>Annual baseline revenue before shock</x:v>
      </x:c>
      <x:c r="D8" s="20" t="n">
        <x:f>SUM(D10:G10)</x:f>
        <x:v>720.0000000000001</x:v>
      </x:c>
      <x:c r="E8" s="20" t="n">
        <x:f>SUM(D10:G10)</x:f>
        <x:v>720.0000000000001</x:v>
      </x:c>
      <x:c r="F8" s="20" t="n">
        <x:f>SUM(D10:G10)</x:f>
        <x:v>720.0000000000001</x:v>
      </x:c>
      <x:c r="G8" s="20" t="n">
        <x:f>SUM(D10:G10)</x:f>
        <x:v>720.0000000000001</x:v>
      </x:c>
      <x:c r="H8" s="20" t="n">
        <x:f>SUM(H10:K10)</x:f>
        <x:v>850</x:v>
      </x:c>
      <x:c r="I8" s="20" t="n">
        <x:f>SUM(H10:K10)</x:f>
        <x:v>850</x:v>
      </x:c>
      <x:c r="J8" s="20" t="n">
        <x:f>SUM(H10:K10)</x:f>
        <x:v>850</x:v>
      </x:c>
      <x:c r="K8" s="20" t="n">
        <x:f>SUM(H10:K10)</x:f>
        <x:v>850</x:v>
      </x:c>
      <x:c r="L8" s="20" t="n">
        <x:f>SUM(L10:O10)</x:f>
        <x:v>950</x:v>
      </x:c>
      <x:c r="M8" s="20" t="n">
        <x:f>SUM(L10:O10)</x:f>
        <x:v>950</x:v>
      </x:c>
      <x:c r="N8" s="20" t="n">
        <x:f>SUM(L10:O10)</x:f>
        <x:v>950</x:v>
      </x:c>
      <x:c r="O8" s="20" t="n">
        <x:f>SUM(L10:O10)</x:f>
        <x:v>950</x:v>
      </x:c>
      <x:c r="P8" s="8" t="n">
        <x:f>'Base Case'!P8</x:f>
        <x:v>1045</x:v>
      </x:c>
      <x:c r="Q8" s="8" t="n">
        <x:f>'Base Case'!Q8</x:f>
        <x:v>1045</x:v>
      </x:c>
      <x:c r="R8" s="8" t="n">
        <x:f>'Base Case'!R8</x:f>
        <x:v>1045</x:v>
      </x:c>
      <x:c r="S8" s="8" t="n">
        <x:f>'Base Case'!S8</x:f>
        <x:v>1045</x:v>
      </x:c>
      <x:c r="T8" s="8" t="n">
        <x:f>'Base Case'!T8</x:f>
        <x:v>1139.0500000000002</x:v>
      </x:c>
      <x:c r="U8" s="8" t="n">
        <x:f>'Base Case'!U8</x:f>
        <x:v>1139.0500000000002</x:v>
      </x:c>
      <x:c r="V8" s="8" t="n">
        <x:f>'Base Case'!V8</x:f>
        <x:v>1139.0500000000002</x:v>
      </x:c>
      <x:c r="W8" s="8" t="n">
        <x:f>'Base Case'!W8</x:f>
        <x:v>1139.0500000000002</x:v>
      </x:c>
      <x:c r="X8" s="8" t="n">
        <x:f>'Base Case'!X8</x:f>
        <x:v>1230.1740000000002</x:v>
      </x:c>
      <x:c r="Y8" s="8" t="n">
        <x:f>'Base Case'!Y8</x:f>
        <x:v>1230.1740000000002</x:v>
      </x:c>
      <x:c r="Z8" s="8" t="n">
        <x:f>'Base Case'!Z8</x:f>
        <x:v>1230.1740000000002</x:v>
      </x:c>
      <x:c r="AA8" s="8" t="n">
        <x:f>'Base Case'!AA8</x:f>
        <x:v>1230.1740000000002</x:v>
      </x:c>
    </x:row>
    <x:row r="9" ht="21" customHeight="1">
      <x:c r="A9" s="1"/>
      <x:c r="B9" s="1"/>
      <x:c r="C9" s="1" t="str">
        <x:v>Quarter share of annual revenue</x:v>
      </x:c>
      <x:c r="D9" s="32" t="n">
        <x:f>D10/D8</x:f>
        <x:v>0.24</x:v>
      </x:c>
      <x:c r="E9" s="32" t="n">
        <x:f>E10/E8</x:f>
        <x:v>0.21999999999999997</x:v>
      </x:c>
      <x:c r="F9" s="32" t="n">
        <x:f>F10/F8</x:f>
        <x:v>0.25999999999999995</x:v>
      </x:c>
      <x:c r="G9" s="32" t="n">
        <x:f>G10/G8</x:f>
        <x:v>0.27999999999999997</x:v>
      </x:c>
      <x:c r="H9" s="32" t="n">
        <x:f>H10/H8</x:f>
        <x:v>0.23</x:v>
      </x:c>
      <x:c r="I9" s="32" t="n">
        <x:f>I10/I8</x:f>
        <x:v>0.23</x:v>
      </x:c>
      <x:c r="J9" s="32" t="n">
        <x:f>J10/J8</x:f>
        <x:v>0.26</x:v>
      </x:c>
      <x:c r="K9" s="32" t="n">
        <x:f>K10/K8</x:f>
        <x:v>0.28</x:v>
      </x:c>
      <x:c r="L9" s="32" t="n">
        <x:f>L10/L8</x:f>
        <x:v>0.24</x:v>
      </x:c>
      <x:c r="M9" s="32" t="n">
        <x:f>M10/M8</x:f>
        <x:v>0.23</x:v>
      </x:c>
      <x:c r="N9" s="32" t="n">
        <x:f>N10/N8</x:f>
        <x:v>0.26</x:v>
      </x:c>
      <x:c r="O9" s="32" t="n">
        <x:f>O10/O8</x:f>
        <x:v>0.27</x:v>
      </x:c>
      <x:c r="P9" s="11" t="n">
        <x:f>'Base Case'!P9</x:f>
        <x:v>0.23666666666666666</x:v>
      </x:c>
      <x:c r="Q9" s="11" t="n">
        <x:f>'Base Case'!Q9</x:f>
        <x:v>0.22666666666666666</x:v>
      </x:c>
      <x:c r="R9" s="11" t="n">
        <x:f>'Base Case'!R9</x:f>
        <x:v>0.26</x:v>
      </x:c>
      <x:c r="S9" s="11" t="n">
        <x:f>'Base Case'!S9</x:f>
        <x:v>0.27666666666666667</x:v>
      </x:c>
      <x:c r="T9" s="11" t="n">
        <x:f>'Base Case'!T9</x:f>
        <x:v>0.23666666666666666</x:v>
      </x:c>
      <x:c r="U9" s="11" t="n">
        <x:f>'Base Case'!U9</x:f>
        <x:v>0.22666666666666666</x:v>
      </x:c>
      <x:c r="V9" s="11" t="n">
        <x:f>'Base Case'!V9</x:f>
        <x:v>0.26</x:v>
      </x:c>
      <x:c r="W9" s="11" t="n">
        <x:f>'Base Case'!W9</x:f>
        <x:v>0.27666666666666667</x:v>
      </x:c>
      <x:c r="X9" s="11" t="n">
        <x:f>'Base Case'!X9</x:f>
        <x:v>0.23666666666666666</x:v>
      </x:c>
      <x:c r="Y9" s="11" t="n">
        <x:f>'Base Case'!Y9</x:f>
        <x:v>0.22666666666666666</x:v>
      </x:c>
      <x:c r="Z9" s="11" t="n">
        <x:f>'Base Case'!Z9</x:f>
        <x:v>0.26</x:v>
      </x:c>
      <x:c r="AA9" s="11" t="n">
        <x:f>'Base Case'!AA9</x:f>
        <x:v>0.27666666666666667</x:v>
      </x:c>
    </x:row>
    <x:row r="10" ht="21" customHeight="1">
      <x:c r="A10" s="1"/>
      <x:c r="B10" s="1"/>
      <x:c r="C10" s="1" t="str">
        <x:v>Revenue</x:v>
      </x:c>
      <x:c r="D10" s="8" t="n">
        <x:f>Source!C4</x:f>
        <x:v>172.8</x:v>
      </x:c>
      <x:c r="E10" s="8" t="n">
        <x:f>Source!D4</x:f>
        <x:v>158.4</x:v>
      </x:c>
      <x:c r="F10" s="8" t="n">
        <x:f>Source!E4</x:f>
        <x:v>187.2</x:v>
      </x:c>
      <x:c r="G10" s="8" t="n">
        <x:f>Source!F4</x:f>
        <x:v>201.6</x:v>
      </x:c>
      <x:c r="H10" s="8" t="n">
        <x:f>Source!G4</x:f>
        <x:v>195.5</x:v>
      </x:c>
      <x:c r="I10" s="8" t="n">
        <x:f>Source!H4</x:f>
        <x:v>195.5</x:v>
      </x:c>
      <x:c r="J10" s="8" t="n">
        <x:f>Source!I4</x:f>
        <x:v>221</x:v>
      </x:c>
      <x:c r="K10" s="8" t="n">
        <x:f>Source!J4</x:f>
        <x:v>238</x:v>
      </x:c>
      <x:c r="L10" s="8" t="n">
        <x:f>Source!K4</x:f>
        <x:v>228</x:v>
      </x:c>
      <x:c r="M10" s="8" t="n">
        <x:f>Source!L4</x:f>
        <x:v>218.5</x:v>
      </x:c>
      <x:c r="N10" s="8" t="n">
        <x:f>Source!M4</x:f>
        <x:v>247</x:v>
      </x:c>
      <x:c r="O10" s="8" t="n">
        <x:f>Source!N4</x:f>
        <x:v>256.5</x:v>
      </x:c>
      <x:c r="P10" s="20" t="n">
        <x:f>P71+P75</x:f>
        <x:v>253.25226666666666</x:v>
      </x:c>
      <x:c r="Q10" s="20" t="n">
        <x:f>Q71+Q75</x:f>
        <x:v>242.55146666666664</x:v>
      </x:c>
      <x:c r="R10" s="20" t="n">
        <x:f>R71+R75</x:f>
        <x:v>278.2208</x:v>
      </x:c>
      <x:c r="S10" s="20" t="n">
        <x:f>S71+S75</x:f>
        <x:v>296.0554666666667</x:v>
      </x:c>
      <x:c r="T10" s="20" t="n">
        <x:f>T71+T75</x:f>
        <x:v>276.0449706666667</x:v>
      </x:c>
      <x:c r="U10" s="20" t="n">
        <x:f>U71+U75</x:f>
        <x:v>264.38109866666673</x:v>
      </x:c>
      <x:c r="V10" s="20" t="n">
        <x:f>V71+V75</x:f>
        <x:v>303.26067200000006</x:v>
      </x:c>
      <x:c r="W10" s="20" t="n">
        <x:f>W71+W75</x:f>
        <x:v>322.7004586666667</x:v>
      </x:c>
      <x:c r="X10" s="20" t="n">
        <x:f>X71+X75</x:f>
        <x:v>298.12856832</x:v>
      </x:c>
      <x:c r="Y10" s="20" t="n">
        <x:f>Y71+Y75</x:f>
        <x:v>285.53158656000005</x:v>
      </x:c>
      <x:c r="Z10" s="20" t="n">
        <x:f>Z71+Z75</x:f>
        <x:v>327.52152576000003</x:v>
      </x:c>
      <x:c r="AA10" s="20" t="n">
        <x:f>AA71+AA75</x:f>
        <x:v>348.5164953600001</x:v>
      </x:c>
    </x:row>
    <x:row r="11" ht="21" customHeight="1">
      <x:c r="A11" s="1"/>
      <x:c r="B11" s="1"/>
      <x:c r="C11" s="1" t="str">
        <x:v>Cost of goods sold</x:v>
      </x:c>
      <x:c r="D11" s="8" t="n">
        <x:f>Source!C5</x:f>
        <x:v>103.68</x:v>
      </x:c>
      <x:c r="E11" s="8" t="n">
        <x:f>Source!D5</x:f>
        <x:v>95.04</x:v>
      </x:c>
      <x:c r="F11" s="8" t="n">
        <x:f>Source!E5</x:f>
        <x:v>112.32</x:v>
      </x:c>
      <x:c r="G11" s="8" t="n">
        <x:f>Source!F5</x:f>
        <x:v>120.96</x:v>
      </x:c>
      <x:c r="H11" s="8" t="n">
        <x:f>Source!G5</x:f>
        <x:v>117.3</x:v>
      </x:c>
      <x:c r="I11" s="8" t="n">
        <x:f>Source!H5</x:f>
        <x:v>117.3</x:v>
      </x:c>
      <x:c r="J11" s="8" t="n">
        <x:f>Source!I5</x:f>
        <x:v>132.6</x:v>
      </x:c>
      <x:c r="K11" s="8" t="n">
        <x:f>Source!J5</x:f>
        <x:v>142.8</x:v>
      </x:c>
      <x:c r="L11" s="8" t="n">
        <x:f>Source!K5</x:f>
        <x:v>136.8</x:v>
      </x:c>
      <x:c r="M11" s="8" t="n">
        <x:f>Source!L5</x:f>
        <x:v>131.1</x:v>
      </x:c>
      <x:c r="N11" s="8" t="n">
        <x:f>Source!M5</x:f>
        <x:v>148.2</x:v>
      </x:c>
      <x:c r="O11" s="8" t="n">
        <x:f>Source!N5</x:f>
        <x:v>153.9</x:v>
      </x:c>
      <x:c r="P11" s="20" t="n">
        <x:f>P72+P74</x:f>
        <x:v>163.22899999999998</x:v>
      </x:c>
      <x:c r="Q11" s="20" t="n">
        <x:f>Q72+Q74</x:f>
        <x:v>156.33199999999997</x:v>
      </x:c>
      <x:c r="R11" s="20" t="n">
        <x:f>R72+R74</x:f>
        <x:v>179.32199999999997</x:v>
      </x:c>
      <x:c r="S11" s="20" t="n">
        <x:f>S72+S74</x:f>
        <x:v>190.817</x:v>
      </x:c>
      <x:c r="T11" s="20" t="n">
        <x:f>T72+T74</x:f>
        <x:v>177.91961</x:v>
      </x:c>
      <x:c r="U11" s="20" t="n">
        <x:f>U72+U74</x:f>
        <x:v>170.40188000000003</x:v>
      </x:c>
      <x:c r="V11" s="20" t="n">
        <x:f>V72+V74</x:f>
        <x:v>195.46098000000003</x:v>
      </x:c>
      <x:c r="W11" s="20" t="n">
        <x:f>W72+W74</x:f>
        <x:v>207.99053</x:v>
      </x:c>
      <x:c r="X11" s="20" t="n">
        <x:f>X72+X74</x:f>
        <x:v>192.1531788</x:v>
      </x:c>
      <x:c r="Y11" s="20" t="n">
        <x:f>Y72+Y74</x:f>
        <x:v>184.0340304</x:v>
      </x:c>
      <x:c r="Z11" s="20" t="n">
        <x:f>Z72+Z74</x:f>
        <x:v>211.0978584</x:v>
      </x:c>
      <x:c r="AA11" s="20" t="n">
        <x:f>AA72+AA74</x:f>
        <x:v>224.62977240000004</x:v>
      </x:c>
    </x:row>
    <x:row r="12" ht="21" customHeight="1">
      <x:c r="A12" s="1"/>
      <x:c r="B12" s="1"/>
      <x:c r="C12" s="27" t="str">
        <x:v>Gross profit</x:v>
      </x:c>
      <x:c r="D12" s="28" t="n">
        <x:f>Source!C6</x:f>
        <x:v>69.12</x:v>
      </x:c>
      <x:c r="E12" s="28" t="n">
        <x:f>Source!D6</x:f>
        <x:v>63.36</x:v>
      </x:c>
      <x:c r="F12" s="28" t="n">
        <x:f>Source!E6</x:f>
        <x:v>74.88</x:v>
      </x:c>
      <x:c r="G12" s="28" t="n">
        <x:f>Source!F6</x:f>
        <x:v>80.64</x:v>
      </x:c>
      <x:c r="H12" s="28" t="n">
        <x:f>Source!G6</x:f>
        <x:v>78.2</x:v>
      </x:c>
      <x:c r="I12" s="28" t="n">
        <x:f>Source!H6</x:f>
        <x:v>78.2</x:v>
      </x:c>
      <x:c r="J12" s="28" t="n">
        <x:f>Source!I6</x:f>
        <x:v>88.4</x:v>
      </x:c>
      <x:c r="K12" s="28" t="n">
        <x:f>Source!J6</x:f>
        <x:v>95.2</x:v>
      </x:c>
      <x:c r="L12" s="28" t="n">
        <x:f>Source!K6</x:f>
        <x:v>91.2</x:v>
      </x:c>
      <x:c r="M12" s="28" t="n">
        <x:f>Source!L6</x:f>
        <x:v>87.4</x:v>
      </x:c>
      <x:c r="N12" s="28" t="n">
        <x:f>Source!M6</x:f>
        <x:v>98.8</x:v>
      </x:c>
      <x:c r="O12" s="28" t="n">
        <x:f>Source!N6</x:f>
        <x:v>102.6</x:v>
      </x:c>
      <x:c r="P12" s="29" t="n">
        <x:f>P10-P11</x:f>
        <x:v>90.02326666666667</x:v>
      </x:c>
      <x:c r="Q12" s="29" t="n">
        <x:f>Q10-Q11</x:f>
        <x:v>86.21946666666668</x:v>
      </x:c>
      <x:c r="R12" s="29" t="n">
        <x:f>R10-R11</x:f>
        <x:v>98.89880000000002</x:v>
      </x:c>
      <x:c r="S12" s="29" t="n">
        <x:f>S10-S11</x:f>
        <x:v>105.23846666666668</x:v>
      </x:c>
      <x:c r="T12" s="29" t="n">
        <x:f>T10-T11</x:f>
        <x:v>98.1253606666667</x:v>
      </x:c>
      <x:c r="U12" s="29" t="n">
        <x:f>U10-U11</x:f>
        <x:v>93.9792186666667</x:v>
      </x:c>
      <x:c r="V12" s="29" t="n">
        <x:f>V10-V11</x:f>
        <x:v>107.79969200000002</x:v>
      </x:c>
      <x:c r="W12" s="29" t="n">
        <x:f>W10-W11</x:f>
        <x:v>114.70992866666668</x:v>
      </x:c>
      <x:c r="X12" s="29" t="n">
        <x:f>X10-X11</x:f>
        <x:v>105.97538952</x:v>
      </x:c>
      <x:c r="Y12" s="29" t="n">
        <x:f>Y10-Y11</x:f>
        <x:v>101.49755616000004</x:v>
      </x:c>
      <x:c r="Z12" s="29" t="n">
        <x:f>Z10-Z11</x:f>
        <x:v>116.42366736000002</x:v>
      </x:c>
      <x:c r="AA12" s="29" t="n">
        <x:f>AA10-AA11</x:f>
        <x:v>123.88672296000004</x:v>
      </x:c>
    </x:row>
    <x:row r="13" ht="21" customHeight="1">
      <x:c r="A13" s="1"/>
      <x:c r="B13" s="1"/>
      <x:c r="C13" s="1" t="str">
        <x:v>Total operating expenses</x:v>
      </x:c>
      <x:c r="D13" s="8" t="n">
        <x:f>Source!C7</x:f>
        <x:v>36</x:v>
      </x:c>
      <x:c r="E13" s="8" t="n">
        <x:f>Source!D7</x:f>
        <x:v>33</x:v>
      </x:c>
      <x:c r="F13" s="8" t="n">
        <x:f>Source!E7</x:f>
        <x:v>39</x:v>
      </x:c>
      <x:c r="G13" s="8" t="n">
        <x:f>Source!F7</x:f>
        <x:v>42</x:v>
      </x:c>
      <x:c r="H13" s="8" t="n">
        <x:f>Source!G7</x:f>
        <x:v>41.4</x:v>
      </x:c>
      <x:c r="I13" s="8" t="n">
        <x:f>Source!H7</x:f>
        <x:v>41.4</x:v>
      </x:c>
      <x:c r="J13" s="8" t="n">
        <x:f>Source!I7</x:f>
        <x:v>46.8</x:v>
      </x:c>
      <x:c r="K13" s="8" t="n">
        <x:f>Source!J7</x:f>
        <x:v>50.4</x:v>
      </x:c>
      <x:c r="L13" s="8" t="n">
        <x:f>Source!K7</x:f>
        <x:v>48</x:v>
      </x:c>
      <x:c r="M13" s="8" t="n">
        <x:f>Source!L7</x:f>
        <x:v>46</x:v>
      </x:c>
      <x:c r="N13" s="8" t="n">
        <x:f>Source!M7</x:f>
        <x:v>52</x:v>
      </x:c>
      <x:c r="O13" s="8" t="n">
        <x:f>Source!N7</x:f>
        <x:v>54</x:v>
      </x:c>
      <x:c r="P13" s="20" t="n">
        <x:f>P14+P15</x:f>
        <x:v>52.06666666666666</x:v>
      </x:c>
      <x:c r="Q13" s="20" t="n">
        <x:f>Q14+Q15</x:f>
        <x:v>49.86666666666666</x:v>
      </x:c>
      <x:c r="R13" s="20" t="n">
        <x:f>R14+R15</x:f>
        <x:v>57.199999999999996</x:v>
      </x:c>
      <x:c r="S13" s="20" t="n">
        <x:f>S14+S15</x:f>
        <x:v>60.86666666666666</x:v>
      </x:c>
      <x:c r="T13" s="20" t="n">
        <x:f>T14+T15</x:f>
        <x:v>56.75266666666667</x:v>
      </x:c>
      <x:c r="U13" s="20" t="n">
        <x:f>U14+U15</x:f>
        <x:v>54.354666666666674</x:v>
      </x:c>
      <x:c r="V13" s="20" t="n">
        <x:f>V14+V15</x:f>
        <x:v>62.34800000000001</x:v>
      </x:c>
      <x:c r="W13" s="20" t="n">
        <x:f>W14+W15</x:f>
        <x:v>66.34466666666667</x:v>
      </x:c>
      <x:c r="X13" s="20" t="n">
        <x:f>X14+X15</x:f>
        <x:v>61.29288000000001</x:v>
      </x:c>
      <x:c r="Y13" s="20" t="n">
        <x:f>Y14+Y15</x:f>
        <x:v>58.70304</x:v>
      </x:c>
      <x:c r="Z13" s="20" t="n">
        <x:f>Z14+Z15</x:f>
        <x:v>67.33584</x:v>
      </x:c>
      <x:c r="AA13" s="20" t="n">
        <x:f>AA14+AA15</x:f>
        <x:v>71.65224</x:v>
      </x:c>
    </x:row>
    <x:row r="14" ht="21" customHeight="1">
      <x:c r="A14" s="1"/>
      <x:c r="B14" s="1"/>
      <x:c r="C14" s="1" t="str">
        <x:v>Cash operating expenses</x:v>
      </x:c>
      <x:c r="D14" s="2" t="str">
        <x:v>n.a.</x:v>
      </x:c>
      <x:c r="E14" s="2" t="str">
        <x:v>n.a.</x:v>
      </x:c>
      <x:c r="F14" s="2" t="str">
        <x:v>n.a.</x:v>
      </x:c>
      <x:c r="G14" s="2" t="str">
        <x:v>n.a.</x:v>
      </x:c>
      <x:c r="H14" s="2" t="str">
        <x:v>n.a.</x:v>
      </x:c>
      <x:c r="I14" s="2" t="str">
        <x:v>n.a.</x:v>
      </x:c>
      <x:c r="J14" s="2" t="str">
        <x:v>n.a.</x:v>
      </x:c>
      <x:c r="K14" s="2" t="str">
        <x:v>n.a.</x:v>
      </x:c>
      <x:c r="L14" s="2" t="str">
        <x:v>n.a.</x:v>
      </x:c>
      <x:c r="M14" s="2" t="str">
        <x:v>n.a.</x:v>
      </x:c>
      <x:c r="N14" s="2" t="str">
        <x:v>n.a.</x:v>
      </x:c>
      <x:c r="O14" s="2" t="str">
        <x:v>n.a.</x:v>
      </x:c>
      <x:c r="P14" s="20" t="n">
        <x:f>P73</x:f>
        <x:v>36.75752083333333</x:v>
      </x:c>
      <x:c r="Q14" s="20" t="n">
        <x:f>Q73</x:f>
        <x:v>33.95229166666666</x:v>
      </x:c>
      <x:c r="R14" s="20" t="n">
        <x:f>R73</x:f>
        <x:v>40.64991666666666</x:v>
      </x:c>
      <x:c r="S14" s="20" t="n">
        <x:f>S73</x:f>
        <x:v>43.615562499999996</x:v>
      </x:c>
      <x:c r="T14" s="20" t="n">
        <x:f>T73</x:f>
        <x:v>38.803197708333336</x:v>
      </x:c>
      <x:c r="U14" s="20" t="n">
        <x:f>U73</x:f>
        <x:v>35.74549791666668</x:v>
      </x:c>
      <x:c r="V14" s="20" t="n">
        <x:f>V73</x:f>
        <x:v>43.045909166666675</x:v>
      </x:c>
      <x:c r="W14" s="20" t="n">
        <x:f>W73</x:f>
        <x:v>46.278463125</x:v>
      </x:c>
      <x:c r="X14" s="20" t="n">
        <x:f>X73</x:f>
        <x:v>40.468828525000006</x:v>
      </x:c>
      <x:c r="Y14" s="20" t="n">
        <x:f>Y73</x:f>
        <x:v>37.166512749999995</x:v>
      </x:c>
      <x:c r="Z14" s="20" t="n">
        <x:f>Z73</x:f>
        <x:v>45.0509569</x:v>
      </x:c>
      <x:c r="AA14" s="20" t="n">
        <x:f>AA73</x:f>
        <x:v>48.542115175000006</x:v>
      </x:c>
    </x:row>
    <x:row r="15" ht="21" customHeight="1">
      <x:c r="A15" s="1"/>
      <x:c r="B15" s="1"/>
      <x:c r="C15" s="1" t="str">
        <x:v>Depreciation expense</x:v>
      </x:c>
      <x:c r="D15" s="2" t="str">
        <x:v>n.a.</x:v>
      </x:c>
      <x:c r="E15" s="2" t="str">
        <x:v>n.a.</x:v>
      </x:c>
      <x:c r="F15" s="2" t="str">
        <x:v>n.a.</x:v>
      </x:c>
      <x:c r="G15" s="2" t="str">
        <x:v>n.a.</x:v>
      </x:c>
      <x:c r="H15" s="2" t="str">
        <x:v>n.a.</x:v>
      </x:c>
      <x:c r="I15" s="2" t="str">
        <x:v>n.a.</x:v>
      </x:c>
      <x:c r="J15" s="2" t="str">
        <x:v>n.a.</x:v>
      </x:c>
      <x:c r="K15" s="2" t="str">
        <x:v>n.a.</x:v>
      </x:c>
      <x:c r="L15" s="2" t="str">
        <x:v>n.a.</x:v>
      </x:c>
      <x:c r="M15" s="2" t="str">
        <x:v>n.a.</x:v>
      </x:c>
      <x:c r="N15" s="2" t="str">
        <x:v>n.a.</x:v>
      </x:c>
      <x:c r="O15" s="2" t="str">
        <x:v>n.a.</x:v>
      </x:c>
      <x:c r="P15" s="8" t="n">
        <x:f>'Base Case'!P15</x:f>
        <x:v>15.309145833333334</x:v>
      </x:c>
      <x:c r="Q15" s="8" t="n">
        <x:f>'Base Case'!Q15</x:f>
        <x:v>15.914375</x:v>
      </x:c>
      <x:c r="R15" s="8" t="n">
        <x:f>'Base Case'!R15</x:f>
        <x:v>16.550083333333333</x:v>
      </x:c>
      <x:c r="S15" s="8" t="n">
        <x:f>'Base Case'!S15</x:f>
        <x:v>17.251104166666668</x:v>
      </x:c>
      <x:c r="T15" s="8" t="n">
        <x:f>'Base Case'!T15</x:f>
        <x:v>17.949468958333334</x:v>
      </x:c>
      <x:c r="U15" s="8" t="n">
        <x:f>'Base Case'!U15</x:f>
        <x:v>18.60916875</x:v>
      </x:c>
      <x:c r="V15" s="8" t="n">
        <x:f>'Base Case'!V15</x:f>
        <x:v>19.302090833333335</x:v>
      </x:c>
      <x:c r="W15" s="8" t="n">
        <x:f>'Base Case'!W15</x:f>
        <x:v>20.066203541666667</x:v>
      </x:c>
      <x:c r="X15" s="8" t="n">
        <x:f>'Base Case'!X15</x:f>
        <x:v>20.824051475</x:v>
      </x:c>
      <x:c r="Y15" s="8" t="n">
        <x:f>'Base Case'!Y15</x:f>
        <x:v>21.536527250000002</x:v>
      </x:c>
      <x:c r="Z15" s="8" t="n">
        <x:f>'Base Case'!Z15</x:f>
        <x:v>22.284883100000002</x:v>
      </x:c>
      <x:c r="AA15" s="8" t="n">
        <x:f>'Base Case'!AA15</x:f>
        <x:v>23.110124825</x:v>
      </x:c>
    </x:row>
    <x:row r="16" ht="21" customHeight="1">
      <x:c r="A16" s="1"/>
      <x:c r="B16" s="1"/>
      <x:c r="C16" s="27" t="str">
        <x:v>Operating income</x:v>
      </x:c>
      <x:c r="D16" s="28" t="n">
        <x:f>Source!C8</x:f>
        <x:v>33.12</x:v>
      </x:c>
      <x:c r="E16" s="28" t="n">
        <x:f>Source!D8</x:f>
        <x:v>30.36</x:v>
      </x:c>
      <x:c r="F16" s="28" t="n">
        <x:f>Source!E8</x:f>
        <x:v>35.88</x:v>
      </x:c>
      <x:c r="G16" s="28" t="n">
        <x:f>Source!F8</x:f>
        <x:v>38.64</x:v>
      </x:c>
      <x:c r="H16" s="28" t="n">
        <x:f>Source!G8</x:f>
        <x:v>36.8</x:v>
      </x:c>
      <x:c r="I16" s="28" t="n">
        <x:f>Source!H8</x:f>
        <x:v>36.8</x:v>
      </x:c>
      <x:c r="J16" s="28" t="n">
        <x:f>Source!I8</x:f>
        <x:v>41.6</x:v>
      </x:c>
      <x:c r="K16" s="28" t="n">
        <x:f>Source!J8</x:f>
        <x:v>44.8</x:v>
      </x:c>
      <x:c r="L16" s="28" t="n">
        <x:f>Source!K8</x:f>
        <x:v>43.2</x:v>
      </x:c>
      <x:c r="M16" s="28" t="n">
        <x:f>Source!L8</x:f>
        <x:v>41.4</x:v>
      </x:c>
      <x:c r="N16" s="28" t="n">
        <x:f>Source!M8</x:f>
        <x:v>46.8</x:v>
      </x:c>
      <x:c r="O16" s="28" t="n">
        <x:f>Source!N8</x:f>
        <x:v>48.6</x:v>
      </x:c>
      <x:c r="P16" s="29" t="n">
        <x:f>P12-P13</x:f>
        <x:v>37.95660000000001</x:v>
      </x:c>
      <x:c r="Q16" s="29" t="n">
        <x:f>Q12-Q13</x:f>
        <x:v>36.352800000000016</x:v>
      </x:c>
      <x:c r="R16" s="29" t="n">
        <x:f>R12-R13</x:f>
        <x:v>41.69880000000003</x:v>
      </x:c>
      <x:c r="S16" s="29" t="n">
        <x:f>S12-S13</x:f>
        <x:v>44.37180000000002</x:v>
      </x:c>
      <x:c r="T16" s="29" t="n">
        <x:f>T12-T13</x:f>
        <x:v>41.372694000000024</x:v>
      </x:c>
      <x:c r="U16" s="29" t="n">
        <x:f>U12-U13</x:f>
        <x:v>39.62455200000002</x:v>
      </x:c>
      <x:c r="V16" s="29" t="n">
        <x:f>V12-V13</x:f>
        <x:v>45.45169200000001</x:v>
      </x:c>
      <x:c r="W16" s="29" t="n">
        <x:f>W12-W13</x:f>
        <x:v>48.365262000000016</x:v>
      </x:c>
      <x:c r="X16" s="29" t="n">
        <x:f>X12-X13</x:f>
        <x:v>44.68250951999998</x:v>
      </x:c>
      <x:c r="Y16" s="29" t="n">
        <x:f>Y12-Y13</x:f>
        <x:v>42.79451616000004</x:v>
      </x:c>
      <x:c r="Z16" s="29" t="n">
        <x:f>Z12-Z13</x:f>
        <x:v>49.08782736000002</x:v>
      </x:c>
      <x:c r="AA16" s="29" t="n">
        <x:f>AA12-AA13</x:f>
        <x:v>52.23448296000004</x:v>
      </x:c>
    </x:row>
    <x:row r="17" ht="21" customHeight="1">
      <x:c r="A17" s="1"/>
      <x:c r="B17" s="1"/>
      <x:c r="C17" s="1" t="str">
        <x:v>Interest expense</x:v>
      </x:c>
      <x:c r="D17" s="8" t="n">
        <x:f>Source!C9</x:f>
        <x:v>6</x:v>
      </x:c>
      <x:c r="E17" s="8" t="n">
        <x:f>Source!D9</x:f>
        <x:v>5.5</x:v>
      </x:c>
      <x:c r="F17" s="8" t="n">
        <x:f>Source!E9</x:f>
        <x:v>6.5</x:v>
      </x:c>
      <x:c r="G17" s="8" t="n">
        <x:f>Source!F9</x:f>
        <x:v>7</x:v>
      </x:c>
      <x:c r="H17" s="8" t="n">
        <x:f>Source!G9</x:f>
        <x:v>5.06</x:v>
      </x:c>
      <x:c r="I17" s="8" t="n">
        <x:f>Source!H9</x:f>
        <x:v>5.06</x:v>
      </x:c>
      <x:c r="J17" s="8" t="n">
        <x:f>Source!I9</x:f>
        <x:v>5.72</x:v>
      </x:c>
      <x:c r="K17" s="8" t="n">
        <x:f>Source!J9</x:f>
        <x:v>6.16</x:v>
      </x:c>
      <x:c r="L17" s="8" t="n">
        <x:f>Source!K9</x:f>
        <x:v>4.8</x:v>
      </x:c>
      <x:c r="M17" s="8" t="n">
        <x:f>Source!L9</x:f>
        <x:v>4.6</x:v>
      </x:c>
      <x:c r="N17" s="8" t="n">
        <x:f>Source!M9</x:f>
        <x:v>5.2</x:v>
      </x:c>
      <x:c r="O17" s="8" t="n">
        <x:f>Source!N9</x:f>
        <x:v>5.4</x:v>
      </x:c>
      <x:c r="P17" s="20" t="n">
        <x:f>P67*P68/4</x:f>
        <x:v>4.841549295774648</x:v>
      </x:c>
      <x:c r="Q17" s="20" t="n">
        <x:f>Q67*Q68/4</x:f>
        <x:v>4.665492957746479</x:v>
      </x:c>
      <x:c r="R17" s="20" t="n">
        <x:f>R67*R68/4</x:f>
        <x:v>4.48943661971831</x:v>
      </x:c>
      <x:c r="S17" s="20" t="n">
        <x:f>S67*S68/4</x:f>
        <x:v>4.313380281690141</x:v>
      </x:c>
      <x:c r="T17" s="20" t="n">
        <x:f>T67*T68/4</x:f>
        <x:v>4.137323943661972</x:v>
      </x:c>
      <x:c r="U17" s="20" t="n">
        <x:f>U67*U68/4</x:f>
        <x:v>3.961267605633803</x:v>
      </x:c>
      <x:c r="V17" s="20" t="n">
        <x:f>V67*V68/4</x:f>
        <x:v>3.785211267605634</x:v>
      </x:c>
      <x:c r="W17" s="20" t="n">
        <x:f>W67*W68/4</x:f>
        <x:v>3.609154929577465</x:v>
      </x:c>
      <x:c r="X17" s="20" t="n">
        <x:f>X67*X68/4</x:f>
        <x:v>3.433098591549296</x:v>
      </x:c>
      <x:c r="Y17" s="20" t="n">
        <x:f>Y67*Y68/4</x:f>
        <x:v>3.257042253521127</x:v>
      </x:c>
      <x:c r="Z17" s="20" t="n">
        <x:f>Z67*Z68/4</x:f>
        <x:v>3.080985915492958</x:v>
      </x:c>
      <x:c r="AA17" s="20" t="n">
        <x:f>AA67*AA68/4</x:f>
        <x:v>2.904929577464789</x:v>
      </x:c>
    </x:row>
    <x:row r="18" ht="21" customHeight="1">
      <x:c r="A18" s="1"/>
      <x:c r="B18" s="1"/>
      <x:c r="C18" s="1" t="str">
        <x:v>Earnings before tax</x:v>
      </x:c>
      <x:c r="D18" s="8" t="n">
        <x:f>Source!C10</x:f>
        <x:v>27.12</x:v>
      </x:c>
      <x:c r="E18" s="8" t="n">
        <x:f>Source!D10</x:f>
        <x:v>24.86</x:v>
      </x:c>
      <x:c r="F18" s="8" t="n">
        <x:f>Source!E10</x:f>
        <x:v>29.38</x:v>
      </x:c>
      <x:c r="G18" s="8" t="n">
        <x:f>Source!F10</x:f>
        <x:v>31.64</x:v>
      </x:c>
      <x:c r="H18" s="8" t="n">
        <x:f>Source!G10</x:f>
        <x:v>31.74</x:v>
      </x:c>
      <x:c r="I18" s="8" t="n">
        <x:f>Source!H10</x:f>
        <x:v>31.74</x:v>
      </x:c>
      <x:c r="J18" s="8" t="n">
        <x:f>Source!I10</x:f>
        <x:v>35.88</x:v>
      </x:c>
      <x:c r="K18" s="8" t="n">
        <x:f>Source!J10</x:f>
        <x:v>38.64</x:v>
      </x:c>
      <x:c r="L18" s="8" t="n">
        <x:f>Source!K10</x:f>
        <x:v>38.4</x:v>
      </x:c>
      <x:c r="M18" s="8" t="n">
        <x:f>Source!L10</x:f>
        <x:v>36.8</x:v>
      </x:c>
      <x:c r="N18" s="8" t="n">
        <x:f>Source!M10</x:f>
        <x:v>41.6</x:v>
      </x:c>
      <x:c r="O18" s="8" t="n">
        <x:f>Source!N10</x:f>
        <x:v>43.2</x:v>
      </x:c>
      <x:c r="P18" s="20" t="n">
        <x:f>P16-P17</x:f>
        <x:v>33.11505070422536</x:v>
      </x:c>
      <x:c r="Q18" s="20" t="n">
        <x:f>Q16-Q17</x:f>
        <x:v>31.687307042253536</x:v>
      </x:c>
      <x:c r="R18" s="20" t="n">
        <x:f>R16-R17</x:f>
        <x:v>37.209363380281715</x:v>
      </x:c>
      <x:c r="S18" s="20" t="n">
        <x:f>S16-S17</x:f>
        <x:v>40.05841971830988</x:v>
      </x:c>
      <x:c r="T18" s="20" t="n">
        <x:f>T16-T17</x:f>
        <x:v>37.235370056338056</x:v>
      </x:c>
      <x:c r="U18" s="20" t="n">
        <x:f>U16-U17</x:f>
        <x:v>35.66328439436622</x:v>
      </x:c>
      <x:c r="V18" s="20" t="n">
        <x:f>V16-V17</x:f>
        <x:v>41.666480732394376</x:v>
      </x:c>
      <x:c r="W18" s="20" t="n">
        <x:f>W16-W17</x:f>
        <x:v>44.75610707042255</x:v>
      </x:c>
      <x:c r="X18" s="20" t="n">
        <x:f>X16-X17</x:f>
        <x:v>41.249410928450686</x:v>
      </x:c>
      <x:c r="Y18" s="20" t="n">
        <x:f>Y16-Y17</x:f>
        <x:v>39.537473906478915</x:v>
      </x:c>
      <x:c r="Z18" s="20" t="n">
        <x:f>Z16-Z17</x:f>
        <x:v>46.00684144450706</x:v>
      </x:c>
      <x:c r="AA18" s="20" t="n">
        <x:f>AA16-AA17</x:f>
        <x:v>49.329553382535245</x:v>
      </x:c>
    </x:row>
    <x:row r="19" ht="21" customHeight="1">
      <x:c r="A19" s="1"/>
      <x:c r="B19" s="1"/>
      <x:c r="C19" s="1" t="str">
        <x:v>Tax expense</x:v>
      </x:c>
      <x:c r="D19" s="8" t="n">
        <x:f>Source!C11</x:f>
        <x:v>6.72</x:v>
      </x:c>
      <x:c r="E19" s="8" t="n">
        <x:f>Source!D11</x:f>
        <x:v>6.16</x:v>
      </x:c>
      <x:c r="F19" s="8" t="n">
        <x:f>Source!E11</x:f>
        <x:v>7.28</x:v>
      </x:c>
      <x:c r="G19" s="8" t="n">
        <x:f>Source!F11</x:f>
        <x:v>7.84</x:v>
      </x:c>
      <x:c r="H19" s="8" t="n">
        <x:f>Source!G11</x:f>
        <x:v>7.82</x:v>
      </x:c>
      <x:c r="I19" s="8" t="n">
        <x:f>Source!H11</x:f>
        <x:v>7.82</x:v>
      </x:c>
      <x:c r="J19" s="8" t="n">
        <x:f>Source!I11</x:f>
        <x:v>8.84</x:v>
      </x:c>
      <x:c r="K19" s="8" t="n">
        <x:f>Source!J11</x:f>
        <x:v>9.52</x:v>
      </x:c>
      <x:c r="L19" s="8" t="n">
        <x:f>Source!K11</x:f>
        <x:v>9.6</x:v>
      </x:c>
      <x:c r="M19" s="8" t="n">
        <x:f>Source!L11</x:f>
        <x:v>9.2</x:v>
      </x:c>
      <x:c r="N19" s="8" t="n">
        <x:f>Source!M11</x:f>
        <x:v>10.4</x:v>
      </x:c>
      <x:c r="O19" s="8" t="n">
        <x:f>Source!N11</x:f>
        <x:v>10.8</x:v>
      </x:c>
      <x:c r="P19" s="8" t="n">
        <x:f>MAX(P18,0)*Assumptions!D10</x:f>
        <x:v>8.27876267605634</x:v>
      </x:c>
      <x:c r="Q19" s="8" t="n">
        <x:f>MAX(Q18,0)*Assumptions!D10</x:f>
        <x:v>7.921826760563384</x:v>
      </x:c>
      <x:c r="R19" s="8" t="n">
        <x:f>MAX(R18,0)*Assumptions!D10</x:f>
        <x:v>9.302340845070429</x:v>
      </x:c>
      <x:c r="S19" s="8" t="n">
        <x:f>MAX(S18,0)*Assumptions!D10</x:f>
        <x:v>10.01460492957747</x:v>
      </x:c>
      <x:c r="T19" s="8" t="n">
        <x:f>MAX(T18,0)*Assumptions!E10</x:f>
        <x:v>9.308842514084514</x:v>
      </x:c>
      <x:c r="U19" s="8" t="n">
        <x:f>MAX(U18,0)*Assumptions!E10</x:f>
        <x:v>8.915821098591556</x:v>
      </x:c>
      <x:c r="V19" s="8" t="n">
        <x:f>MAX(V18,0)*Assumptions!E10</x:f>
        <x:v>10.416620183098594</x:v>
      </x:c>
      <x:c r="W19" s="8" t="n">
        <x:f>MAX(W18,0)*Assumptions!E10</x:f>
        <x:v>11.189026767605638</x:v>
      </x:c>
      <x:c r="X19" s="8" t="n">
        <x:f>MAX(X18,0)*Assumptions!F10</x:f>
        <x:v>10.312352732112672</x:v>
      </x:c>
      <x:c r="Y19" s="8" t="n">
        <x:f>MAX(Y18,0)*Assumptions!F10</x:f>
        <x:v>9.884368476619729</x:v>
      </x:c>
      <x:c r="Z19" s="8" t="n">
        <x:f>MAX(Z18,0)*Assumptions!F10</x:f>
        <x:v>11.501710361126765</x:v>
      </x:c>
      <x:c r="AA19" s="8" t="n">
        <x:f>MAX(AA18,0)*Assumptions!F10</x:f>
        <x:v>12.332388345633811</x:v>
      </x:c>
    </x:row>
    <x:row r="20" ht="21" customHeight="1">
      <x:c r="A20" s="1"/>
      <x:c r="B20" s="1"/>
      <x:c r="C20" s="27" t="str">
        <x:v>Net income</x:v>
      </x:c>
      <x:c r="D20" s="28" t="n">
        <x:f>Source!C12</x:f>
        <x:v>20.4</x:v>
      </x:c>
      <x:c r="E20" s="28" t="n">
        <x:f>Source!D12</x:f>
        <x:v>18.7</x:v>
      </x:c>
      <x:c r="F20" s="28" t="n">
        <x:f>Source!E12</x:f>
        <x:v>22.1</x:v>
      </x:c>
      <x:c r="G20" s="28" t="n">
        <x:f>Source!F12</x:f>
        <x:v>23.8</x:v>
      </x:c>
      <x:c r="H20" s="28" t="n">
        <x:f>Source!G12</x:f>
        <x:v>23.92</x:v>
      </x:c>
      <x:c r="I20" s="28" t="n">
        <x:f>Source!H12</x:f>
        <x:v>23.92</x:v>
      </x:c>
      <x:c r="J20" s="28" t="n">
        <x:f>Source!I12</x:f>
        <x:v>27.04</x:v>
      </x:c>
      <x:c r="K20" s="28" t="n">
        <x:f>Source!J12</x:f>
        <x:v>29.12</x:v>
      </x:c>
      <x:c r="L20" s="28" t="n">
        <x:f>Source!K12</x:f>
        <x:v>28.8</x:v>
      </x:c>
      <x:c r="M20" s="28" t="n">
        <x:f>Source!L12</x:f>
        <x:v>27.6</x:v>
      </x:c>
      <x:c r="N20" s="28" t="n">
        <x:f>Source!M12</x:f>
        <x:v>31.2</x:v>
      </x:c>
      <x:c r="O20" s="28" t="n">
        <x:f>Source!N12</x:f>
        <x:v>32.4</x:v>
      </x:c>
      <x:c r="P20" s="29" t="n">
        <x:f>P18-P19</x:f>
        <x:v>24.836288028169022</x:v>
      </x:c>
      <x:c r="Q20" s="29" t="n">
        <x:f>Q18-Q19</x:f>
        <x:v>23.765480281690152</x:v>
      </x:c>
      <x:c r="R20" s="29" t="n">
        <x:f>R18-R19</x:f>
        <x:v>27.907022535211286</x:v>
      </x:c>
      <x:c r="S20" s="29" t="n">
        <x:f>S18-S19</x:f>
        <x:v>30.04381478873241</x:v>
      </x:c>
      <x:c r="T20" s="29" t="n">
        <x:f>T18-T19</x:f>
        <x:v>27.92652754225354</x:v>
      </x:c>
      <x:c r="U20" s="29" t="n">
        <x:f>U18-U19</x:f>
        <x:v>26.747463295774665</x:v>
      </x:c>
      <x:c r="V20" s="29" t="n">
        <x:f>V18-V19</x:f>
        <x:v>31.249860549295782</x:v>
      </x:c>
      <x:c r="W20" s="29" t="n">
        <x:f>W18-W19</x:f>
        <x:v>33.56708030281691</x:v>
      </x:c>
      <x:c r="X20" s="29" t="n">
        <x:f>X18-X19</x:f>
        <x:v>30.937058196338015</x:v>
      </x:c>
      <x:c r="Y20" s="29" t="n">
        <x:f>Y18-Y19</x:f>
        <x:v>29.65310542985919</x:v>
      </x:c>
      <x:c r="Z20" s="29" t="n">
        <x:f>Z18-Z19</x:f>
        <x:v>34.50513108338029</x:v>
      </x:c>
      <x:c r="AA20" s="29" t="n">
        <x:f>AA18-AA19</x:f>
        <x:v>36.997165036901436</x:v>
      </x:c>
    </x:row>
    <x:row r="21" ht="21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A22" s="1"/>
      <x:c r="B22" s="1"/>
      <x:c r="C22" s="15" t="str">
        <x:v>Balance sheet</x:v>
      </x:c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  <x:c r="AA22" s="16"/>
    </x:row>
    <x:row r="23" ht="21" customHeight="1">
      <x:c r="A23" s="1"/>
      <x:c r="B23" s="1"/>
      <x:c r="C23" s="1" t="str">
        <x:v>Cash</x:v>
      </x:c>
      <x:c r="D23" s="8" t="n">
        <x:f>Source!C13</x:f>
        <x:v>51</x:v>
      </x:c>
      <x:c r="E23" s="8" t="n">
        <x:f>Source!D13</x:f>
        <x:v>54.825</x:v>
      </x:c>
      <x:c r="F23" s="8" t="n">
        <x:f>Source!E13</x:f>
        <x:v>56.21875</x:v>
      </x:c>
      <x:c r="G23" s="8" t="n">
        <x:f>Source!F13</x:f>
        <x:v>59.8</x:v>
      </x:c>
      <x:c r="H23" s="8" t="n">
        <x:f>Source!G13</x:f>
        <x:v>68.02</x:v>
      </x:c>
      <x:c r="I23" s="8" t="n">
        <x:f>Source!H13</x:f>
        <x:v>97.115</x:v>
      </x:c>
      <x:c r="J23" s="8" t="n">
        <x:f>Source!I13</x:f>
        <x:v>99.33625</x:v>
      </x:c>
      <x:c r="K23" s="8" t="n">
        <x:f>Source!J13</x:f>
        <x:v>130.8</x:v>
      </x:c>
      <x:c r="L23" s="8" t="n">
        <x:f>Source!K13</x:f>
        <x:v>134.4</x:v>
      </x:c>
      <x:c r="M23" s="8" t="n">
        <x:f>Source!L13</x:f>
        <x:v>170.85</x:v>
      </x:c>
      <x:c r="N23" s="8" t="n">
        <x:f>Source!M13</x:f>
        <x:v>173.4375</x:v>
      </x:c>
      <x:c r="O23" s="8" t="n">
        <x:f>Source!N13</x:f>
        <x:v>210.8</x:v>
      </x:c>
      <x:c r="P23" s="20" t="n">
        <x:f>P55</x:f>
        <x:v>220.33060235967088</x:v>
      </x:c>
      <x:c r="Q23" s="20" t="n">
        <x:f>Q55</x:f>
        <x:v>191.6870346759207</x:v>
      </x:c>
      <x:c r="R23" s="20" t="n">
        <x:f>R55</x:f>
        <x:v>174.6407790697082</x:v>
      </x:c>
      <x:c r="S23" s="20" t="n">
        <x:f>S55</x:f>
        <x:v>154.44387126718988</x:v>
      </x:c>
      <x:c r="T23" s="20" t="n">
        <x:f>T55</x:f>
        <x:v>218.10272580105635</x:v>
      </x:c>
      <x:c r="U23" s="20" t="n">
        <x:f>U55</x:f>
        <x:v>192.81724514417135</x:v>
      </x:c>
      <x:c r="V23" s="20" t="n">
        <x:f>V55</x:f>
        <x:v>177.45553251931514</x:v>
      </x:c>
      <x:c r="W23" s="20" t="n">
        <x:f>W55</x:f>
        <x:v>158.6477251976689</x:v>
      </x:c>
      <x:c r="X23" s="20" t="n">
        <x:f>X55</x:f>
        <x:v>233.6486559719484</x:v>
      </x:c>
      <x:c r="Y23" s="20" t="n">
        <x:f>Y55</x:f>
        <x:v>209.5448069329352</x:v>
      </x:c>
      <x:c r="Z23" s="20" t="n">
        <x:f>Z55</x:f>
        <x:v>196.14806398823134</x:v>
      </x:c>
      <x:c r="AA23" s="20" t="n">
        <x:f>AA55</x:f>
        <x:v>179.01897539071243</x:v>
      </x:c>
    </x:row>
    <x:row r="24" ht="21" customHeight="1">
      <x:c r="A24" s="1"/>
      <x:c r="B24" s="1"/>
      <x:c r="C24" s="1" t="str">
        <x:v>Accounts receivable</x:v>
      </x:c>
      <x:c r="D24" s="8" t="n">
        <x:f>Source!C14</x:f>
        <x:v>93.5</x:v>
      </x:c>
      <x:c r="E24" s="8" t="n">
        <x:f>Source!D14</x:f>
        <x:v>100.1</x:v>
      </x:c>
      <x:c r="F24" s="8" t="n">
        <x:f>Source!E14</x:f>
        <x:v>103.4</x:v>
      </x:c>
      <x:c r="G24" s="8" t="n">
        <x:f>Source!F14</x:f>
        <x:v>110</x:v>
      </x:c>
      <x:c r="H24" s="8" t="n">
        <x:f>Source!G14</x:f>
        <x:v>111.8</x:v>
      </x:c>
      <x:c r="I24" s="8" t="n">
        <x:f>Source!H14</x:f>
        <x:v>119.6</x:v>
      </x:c>
      <x:c r="J24" s="8" t="n">
        <x:f>Source!I14</x:f>
        <x:v>123.5</x:v>
      </x:c>
      <x:c r="K24" s="8" t="n">
        <x:f>Source!J14</x:f>
        <x:v>130</x:v>
      </x:c>
      <x:c r="L24" s="8" t="n">
        <x:f>Source!K14</x:f>
        <x:v>126</x:v>
      </x:c>
      <x:c r="M24" s="8" t="n">
        <x:f>Source!L14</x:f>
        <x:v>136.5</x:v>
      </x:c>
      <x:c r="N24" s="8" t="n">
        <x:f>Source!M14</x:f>
        <x:v>142.5</x:v>
      </x:c>
      <x:c r="O24" s="8" t="n">
        <x:f>Source!N14</x:f>
        <x:v>150</x:v>
      </x:c>
      <x:c r="P24" s="20" t="n">
        <x:f>P10/P6*P76</x:f>
        <x:v>138.41723076923077</x:v>
      </x:c>
      <x:c r="Q24" s="20" t="n">
        <x:f>Q10/Q6*Q76</x:f>
        <x:v>151.52528695652174</x:v>
      </x:c>
      <x:c r="R24" s="20" t="n">
        <x:f>R10/R6*R76</x:f>
        <x:v>160.51199999999997</x:v>
      </x:c>
      <x:c r="S24" s="20" t="n">
        <x:f>S10/S6*S76</x:f>
        <x:v>173.13185185185185</x:v>
      </x:c>
      <x:c r="T24" s="20" t="n">
        <x:f>T10/T6*T76</x:f>
        <x:v>152.55116800000005</x:v>
      </x:c>
      <x:c r="U24" s="20" t="n">
        <x:f>U10/U6*U76</x:f>
        <x:v>165.16256278260875</x:v>
      </x:c>
      <x:c r="V24" s="20" t="n">
        <x:f>V10/V6*V76</x:f>
        <x:v>174.95808000000002</x:v>
      </x:c>
      <x:c r="W24" s="20" t="n">
        <x:f>W10/W6*W76</x:f>
        <x:v>188.7137185185185</x:v>
      </x:c>
      <x:c r="X24" s="20" t="n">
        <x:f>X10/X6*X76</x:f>
        <x:v>164.75526144000003</x:v>
      </x:c>
      <x:c r="Y24" s="20" t="n">
        <x:f>Y10/Y6*Y76</x:f>
        <x:v>178.37556780521743</x:v>
      </x:c>
      <x:c r="Z24" s="20" t="n">
        <x:f>Z10/Z6*Z76</x:f>
        <x:v>188.95472640000003</x:v>
      </x:c>
      <x:c r="AA24" s="20" t="n">
        <x:f>AA10/AA6*AA76</x:f>
        <x:v>203.81081600000002</x:v>
      </x:c>
    </x:row>
    <x:row r="25" ht="21" customHeight="1">
      <x:c r="A25" s="1"/>
      <x:c r="B25" s="1"/>
      <x:c r="C25" s="1" t="str">
        <x:v>Inventory</x:v>
      </x:c>
      <x:c r="D25" s="8" t="n">
        <x:f>Source!C15</x:f>
        <x:v>127.5</x:v>
      </x:c>
      <x:c r="E25" s="8" t="n">
        <x:f>Source!D15</x:f>
        <x:v>136.5</x:v>
      </x:c>
      <x:c r="F25" s="8" t="n">
        <x:f>Source!E15</x:f>
        <x:v>141</x:v>
      </x:c>
      <x:c r="G25" s="8" t="n">
        <x:f>Source!F15</x:f>
        <x:v>150</x:v>
      </x:c>
      <x:c r="H25" s="8" t="n">
        <x:f>Source!G15</x:f>
        <x:v>154.8</x:v>
      </x:c>
      <x:c r="I25" s="8" t="n">
        <x:f>Source!H15</x:f>
        <x:v>165.6</x:v>
      </x:c>
      <x:c r="J25" s="8" t="n">
        <x:f>Source!I15</x:f>
        <x:v>171</x:v>
      </x:c>
      <x:c r="K25" s="8" t="n">
        <x:f>Source!J15</x:f>
        <x:v>180</x:v>
      </x:c>
      <x:c r="L25" s="8" t="n">
        <x:f>Source!K15</x:f>
        <x:v>168</x:v>
      </x:c>
      <x:c r="M25" s="8" t="n">
        <x:f>Source!L15</x:f>
        <x:v>182</x:v>
      </x:c>
      <x:c r="N25" s="8" t="n">
        <x:f>Source!M15</x:f>
        <x:v>190</x:v>
      </x:c>
      <x:c r="O25" s="8" t="n">
        <x:f>Source!N15</x:f>
        <x:v>200</x:v>
      </x:c>
      <x:c r="P25" s="20" t="n">
        <x:f>P11/P6*P77</x:f>
        <x:v>225.15972527472522</x:v>
      </x:c>
      <x:c r="Q25" s="20" t="n">
        <x:f>Q11/Q6*Q77</x:f>
        <x:v>242.79741678611236</x:v>
      </x:c>
      <x:c r="R25" s="20" t="n">
        <x:f>R11/R6*R77</x:f>
        <x:v>259.1372826086956</x:v>
      </x:c>
      <x:c r="S25" s="20" t="n">
        <x:f>S11/S6*S77</x:f>
        <x:v>279.08677603327965</x:v>
      </x:c>
      <x:c r="T25" s="20" t="n">
        <x:f>T11/T6*T77</x:f>
        <x:v>248.15103499999998</x:v>
      </x:c>
      <x:c r="U25" s="20" t="n">
        <x:f>U11/U6*U77</x:f>
        <x:v>264.6491842968626</x:v>
      </x:c>
      <x:c r="V25" s="20" t="n">
        <x:f>V11/V6*V77</x:f>
        <x:v>282.4596380434783</x:v>
      </x:c>
      <x:c r="W25" s="20" t="n">
        <x:f>W11/W6*W77</x:f>
        <x:v>304.20458587627485</x:v>
      </x:c>
      <x:c r="X25" s="20" t="n">
        <x:f>X11/X6*X77</x:f>
        <x:v>268.0031178</x:v>
      </x:c>
      <x:c r="Y25" s="20" t="n">
        <x:f>Y11/Y6*Y77</x:f>
        <x:v>285.8211190406115</x:v>
      </x:c>
      <x:c r="Z25" s="20" t="n">
        <x:f>Z11/Z6*Z77</x:f>
        <x:v>305.05640908695653</x:v>
      </x:c>
      <x:c r="AA25" s="20" t="n">
        <x:f>AA11/AA6*AA77</x:f>
        <x:v>328.5409527463769</x:v>
      </x:c>
    </x:row>
    <x:row r="26" ht="21" customHeight="1">
      <x:c r="A26" s="1"/>
      <x:c r="B26" s="1"/>
      <x:c r="C26" s="27" t="str">
        <x:v>Total current assets</x:v>
      </x:c>
      <x:c r="D26" s="28" t="n">
        <x:f>Source!C16</x:f>
        <x:v>272</x:v>
      </x:c>
      <x:c r="E26" s="28" t="n">
        <x:f>Source!D16</x:f>
        <x:v>291.425</x:v>
      </x:c>
      <x:c r="F26" s="28" t="n">
        <x:f>Source!E16</x:f>
        <x:v>300.61875</x:v>
      </x:c>
      <x:c r="G26" s="28" t="n">
        <x:f>Source!F16</x:f>
        <x:v>319.8</x:v>
      </x:c>
      <x:c r="H26" s="28" t="n">
        <x:f>Source!G16</x:f>
        <x:v>334.62</x:v>
      </x:c>
      <x:c r="I26" s="28" t="n">
        <x:f>Source!H16</x:f>
        <x:v>382.315</x:v>
      </x:c>
      <x:c r="J26" s="28" t="n">
        <x:f>Source!I16</x:f>
        <x:v>393.83625</x:v>
      </x:c>
      <x:c r="K26" s="28" t="n">
        <x:f>Source!J16</x:f>
        <x:v>440.8</x:v>
      </x:c>
      <x:c r="L26" s="28" t="n">
        <x:f>Source!K16</x:f>
        <x:v>428.4</x:v>
      </x:c>
      <x:c r="M26" s="28" t="n">
        <x:f>Source!L16</x:f>
        <x:v>489.35</x:v>
      </x:c>
      <x:c r="N26" s="28" t="n">
        <x:f>Source!M16</x:f>
        <x:v>505.9375</x:v>
      </x:c>
      <x:c r="O26" s="28" t="n">
        <x:f>Source!N16</x:f>
        <x:v>560.8</x:v>
      </x:c>
      <x:c r="P26" s="29" t="n">
        <x:f>SUM(P23:P25)</x:f>
        <x:v>583.9075584036269</x:v>
      </x:c>
      <x:c r="Q26" s="29" t="n">
        <x:f>SUM(Q23:Q25)</x:f>
        <x:v>586.0097384185549</x:v>
      </x:c>
      <x:c r="R26" s="29" t="n">
        <x:f>SUM(R23:R25)</x:f>
        <x:v>594.2900616784038</x:v>
      </x:c>
      <x:c r="S26" s="29" t="n">
        <x:f>SUM(S23:S25)</x:f>
        <x:v>606.6624991523214</x:v>
      </x:c>
      <x:c r="T26" s="29" t="n">
        <x:f>SUM(T23:T25)</x:f>
        <x:v>618.8049288010563</x:v>
      </x:c>
      <x:c r="U26" s="29" t="n">
        <x:f>SUM(U23:U25)</x:f>
        <x:v>622.6289922236426</x:v>
      </x:c>
      <x:c r="V26" s="29" t="n">
        <x:f>SUM(V23:V25)</x:f>
        <x:v>634.8732505627935</x:v>
      </x:c>
      <x:c r="W26" s="29" t="n">
        <x:f>SUM(W23:W25)</x:f>
        <x:v>651.5660295924622</x:v>
      </x:c>
      <x:c r="X26" s="29" t="n">
        <x:f>SUM(X23:X25)</x:f>
        <x:v>666.4070352119484</x:v>
      </x:c>
      <x:c r="Y26" s="29" t="n">
        <x:f>SUM(Y23:Y25)</x:f>
        <x:v>673.7414937787642</x:v>
      </x:c>
      <x:c r="Z26" s="29" t="n">
        <x:f>SUM(Z23:Z25)</x:f>
        <x:v>690.159199475188</x:v>
      </x:c>
      <x:c r="AA26" s="29" t="n">
        <x:f>SUM(AA23:AA25)</x:f>
        <x:v>711.3707441370893</x:v>
      </x:c>
    </x:row>
    <x:row r="27" ht="21" customHeight="1">
      <x:c r="A27" s="1"/>
      <x:c r="B27" s="1"/>
      <x:c r="C27" s="1" t="str">
        <x:v>Net property, plant and equipment</x:v>
      </x:c>
      <x:c r="D27" s="8" t="n">
        <x:f>Source!C17</x:f>
        <x:v>425</x:v>
      </x:c>
      <x:c r="E27" s="8" t="n">
        <x:f>Source!D17</x:f>
        <x:v>455</x:v>
      </x:c>
      <x:c r="F27" s="8" t="n">
        <x:f>Source!E17</x:f>
        <x:v>470</x:v>
      </x:c>
      <x:c r="G27" s="8" t="n">
        <x:f>Source!F17</x:f>
        <x:v>500</x:v>
      </x:c>
      <x:c r="H27" s="8" t="n">
        <x:f>Source!G17</x:f>
        <x:v>473</x:v>
      </x:c>
      <x:c r="I27" s="8" t="n">
        <x:f>Source!H17</x:f>
        <x:v>506</x:v>
      </x:c>
      <x:c r="J27" s="8" t="n">
        <x:f>Source!I17</x:f>
        <x:v>522.5</x:v>
      </x:c>
      <x:c r="K27" s="8" t="n">
        <x:f>Source!J17</x:f>
        <x:v>550</x:v>
      </x:c>
      <x:c r="L27" s="8" t="n">
        <x:f>Source!K17</x:f>
        <x:v>504</x:v>
      </x:c>
      <x:c r="M27" s="8" t="n">
        <x:f>Source!L17</x:f>
        <x:v>546</x:v>
      </x:c>
      <x:c r="N27" s="8" t="n">
        <x:f>Source!M17</x:f>
        <x:v>570</x:v>
      </x:c>
      <x:c r="O27" s="8" t="n">
        <x:f>Source!N17</x:f>
        <x:v>600</x:v>
      </x:c>
      <x:c r="P27" s="8" t="n">
        <x:f>'Base Case'!P27</x:f>
        <x:v>609.4225208333334</x:v>
      </x:c>
      <x:c r="Q27" s="8" t="n">
        <x:f>'Base Case'!Q27</x:f>
        <x:v>617.1948125</x:v>
      </x:c>
      <x:c r="R27" s="8" t="n">
        <x:f>'Base Case'!R27</x:f>
        <x:v>627.8147291666667</x:v>
      </x:c>
      <x:c r="S27" s="8" t="n">
        <x:f>'Base Case'!S27</x:f>
        <x:v>639.4752916666666</x:v>
      </x:c>
      <x:c r="T27" s="8" t="n">
        <x:f>'Base Case'!T27</x:f>
        <x:v>648.483339375</x:v>
      </x:c>
      <x:c r="U27" s="8" t="n">
        <x:f>'Base Case'!U27</x:f>
        <x:v>655.6926372916668</x:v>
      </x:c>
      <x:c r="V27" s="8" t="n">
        <x:f>'Base Case'!V27</x:f>
        <x:v>666.0058464583335</x:v>
      </x:c>
      <x:c r="W27" s="8" t="n">
        <x:f>'Base Case'!W27</x:f>
        <x:v>677.4533595833335</x:v>
      </x:c>
      <x:c r="X27" s="8" t="n">
        <x:f>'Base Case'!X27</x:f>
        <x:v>685.7434261083334</x:v>
      </x:c>
      <x:c r="Y27" s="8" t="n">
        <x:f>'Base Case'!Y27</x:f>
        <x:v>692.0908428583335</x:v>
      </x:c>
      <x:c r="Z27" s="8" t="n">
        <x:f>'Base Case'!Z27</x:f>
        <x:v>701.7904837583335</x:v>
      </x:c>
      <x:c r="AA27" s="8" t="n">
        <x:f>'Base Case'!AA27</x:f>
        <x:v>712.7151729333335</x:v>
      </x:c>
    </x:row>
    <x:row r="28" ht="21" customHeight="1">
      <x:c r="A28" s="1"/>
      <x:c r="B28" s="1"/>
      <x:c r="C28" s="27" t="str">
        <x:v>Total assets</x:v>
      </x:c>
      <x:c r="D28" s="28" t="n">
        <x:f>Source!C18</x:f>
        <x:v>697</x:v>
      </x:c>
      <x:c r="E28" s="28" t="n">
        <x:f>Source!D18</x:f>
        <x:v>746.425</x:v>
      </x:c>
      <x:c r="F28" s="28" t="n">
        <x:f>Source!E18</x:f>
        <x:v>770.61875</x:v>
      </x:c>
      <x:c r="G28" s="28" t="n">
        <x:f>Source!F18</x:f>
        <x:v>819.8</x:v>
      </x:c>
      <x:c r="H28" s="28" t="n">
        <x:f>Source!G18</x:f>
        <x:v>807.62</x:v>
      </x:c>
      <x:c r="I28" s="28" t="n">
        <x:f>Source!H18</x:f>
        <x:v>888.315</x:v>
      </x:c>
      <x:c r="J28" s="28" t="n">
        <x:f>Source!I18</x:f>
        <x:v>916.33625</x:v>
      </x:c>
      <x:c r="K28" s="28" t="n">
        <x:f>Source!J18</x:f>
        <x:v>990.8</x:v>
      </x:c>
      <x:c r="L28" s="28" t="n">
        <x:f>Source!K18</x:f>
        <x:v>932.4</x:v>
      </x:c>
      <x:c r="M28" s="28" t="n">
        <x:f>Source!L18</x:f>
        <x:v>1035.35</x:v>
      </x:c>
      <x:c r="N28" s="28" t="n">
        <x:f>Source!M18</x:f>
        <x:v>1075.9375</x:v>
      </x:c>
      <x:c r="O28" s="28" t="n">
        <x:f>Source!N18</x:f>
        <x:v>1160.8</x:v>
      </x:c>
      <x:c r="P28" s="29" t="n">
        <x:f>P26+P27</x:f>
        <x:v>1193.3300792369603</x:v>
      </x:c>
      <x:c r="Q28" s="29" t="n">
        <x:f>Q26+Q27</x:f>
        <x:v>1203.204550918555</x:v>
      </x:c>
      <x:c r="R28" s="29" t="n">
        <x:f>R26+R27</x:f>
        <x:v>1222.1047908450705</x:v>
      </x:c>
      <x:c r="S28" s="29" t="n">
        <x:f>S26+S27</x:f>
        <x:v>1246.137790818988</x:v>
      </x:c>
      <x:c r="T28" s="29" t="n">
        <x:f>T26+T27</x:f>
        <x:v>1267.2882681760564</x:v>
      </x:c>
      <x:c r="U28" s="29" t="n">
        <x:f>U26+U27</x:f>
        <x:v>1278.3216295153093</x:v>
      </x:c>
      <x:c r="V28" s="29" t="n">
        <x:f>V26+V27</x:f>
        <x:v>1300.879097021127</x:v>
      </x:c>
      <x:c r="W28" s="29" t="n">
        <x:f>W26+W27</x:f>
        <x:v>1329.0193891757958</x:v>
      </x:c>
      <x:c r="X28" s="29" t="n">
        <x:f>X26+X27</x:f>
        <x:v>1352.150461320282</x:v>
      </x:c>
      <x:c r="Y28" s="29" t="n">
        <x:f>Y26+Y27</x:f>
        <x:v>1365.8323366370978</x:v>
      </x:c>
      <x:c r="Z28" s="29" t="n">
        <x:f>Z26+Z27</x:f>
        <x:v>1391.9496832335215</x:v>
      </x:c>
      <x:c r="AA28" s="29" t="n">
        <x:f>AA26+AA27</x:f>
        <x:v>1424.085917070423</x:v>
      </x:c>
    </x:row>
    <x:row r="29" ht="21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1" customHeight="1">
      <x:c r="A30" s="1"/>
      <x:c r="B30" s="1"/>
      <x:c r="C30" s="1" t="str">
        <x:v>Accounts payable</x:v>
      </x:c>
      <x:c r="D30" s="8" t="n">
        <x:f>Source!C20</x:f>
        <x:v>76.8</x:v>
      </x:c>
      <x:c r="E30" s="8" t="n">
        <x:f>Source!D20</x:f>
        <x:v>81.6</x:v>
      </x:c>
      <x:c r="F30" s="8" t="n">
        <x:f>Source!E20</x:f>
        <x:v>79.2</x:v>
      </x:c>
      <x:c r="G30" s="8" t="n">
        <x:f>Source!F20</x:f>
        <x:v>80</x:v>
      </x:c>
      <x:c r="H30" s="8" t="n">
        <x:f>Source!G20</x:f>
        <x:v>102</x:v>
      </x:c>
      <x:c r="I30" s="8" t="n">
        <x:f>Source!H20</x:f>
        <x:v>98</x:v>
      </x:c>
      <x:c r="J30" s="8" t="n">
        <x:f>Source!I20</x:f>
        <x:v>101</x:v>
      </x:c>
      <x:c r="K30" s="8" t="n">
        <x:f>Source!J20</x:f>
        <x:v>100</x:v>
      </x:c>
      <x:c r="L30" s="8" t="n">
        <x:f>Source!K20</x:f>
        <x:v>118.8</x:v>
      </x:c>
      <x:c r="M30" s="8" t="n">
        <x:f>Source!L20</x:f>
        <x:v>116.4</x:v>
      </x:c>
      <x:c r="N30" s="8" t="n">
        <x:f>Source!M20</x:f>
        <x:v>117.6</x:v>
      </x:c>
      <x:c r="O30" s="8" t="n">
        <x:f>Source!N20</x:f>
        <x:v>120</x:v>
      </x:c>
      <x:c r="P30" s="20" t="n">
        <x:f>P11/P6*P78</x:f>
        <x:v>140.19379120879117</x:v>
      </x:c>
      <x:c r="Q30" s="20" t="n">
        <x:f>Q11/Q6*Q78</x:f>
        <x:v>138.80278260869562</x:v>
      </x:c>
      <x:c r="R30" s="20" t="n">
        <x:f>R11/R6*R78</x:f>
        <x:v>142.296</x:v>
      </x:c>
      <x:c r="S30" s="20" t="n">
        <x:f>S11/S6*S78</x:f>
        <x:v>148.78518518518518</x:v>
      </x:c>
      <x:c r="T30" s="20" t="n">
        <x:f>T11/T6*T78</x:f>
        <x:v>154.509135</x:v>
      </x:c>
      <x:c r="U30" s="20" t="n">
        <x:f>U11/U6*U78</x:f>
        <x:v>151.2950330434783</x:v>
      </x:c>
      <x:c r="V30" s="20" t="n">
        <x:f>V11/V6*V78</x:f>
        <x:v>155.10264</x:v>
      </x:c>
      <x:c r="W30" s="20" t="n">
        <x:f>W11/W6*W78</x:f>
        <x:v>162.17585185185186</x:v>
      </x:c>
      <x:c r="X30" s="20" t="n">
        <x:f>X11/X6*X78</x:f>
        <x:v>166.86986579999999</x:v>
      </x:c>
      <x:c r="Y30" s="20" t="n">
        <x:f>Y11/Y6*Y78</x:f>
        <x:v>163.39863568695654</x:v>
      </x:c>
      <x:c r="Z30" s="20" t="n">
        <x:f>Z11/Z6*Z78</x:f>
        <x:v>167.51085120000002</x:v>
      </x:c>
      <x:c r="AA30" s="20" t="n">
        <x:f>AA11/AA6*AA78</x:f>
        <x:v>175.14992</x:v>
      </x:c>
    </x:row>
    <x:row r="31" ht="21" customHeight="1">
      <x:c r="A31" s="1"/>
      <x:c r="B31" s="1"/>
      <x:c r="C31" s="1" t="str">
        <x:v>Current portion of debt</x:v>
      </x:c>
      <x:c r="D31" s="8" t="n">
        <x:f>Source!C21</x:f>
        <x:v>25.5</x:v>
      </x:c>
      <x:c r="E31" s="8" t="n">
        <x:f>Source!D21</x:f>
        <x:v>27.3</x:v>
      </x:c>
      <x:c r="F31" s="8" t="n">
        <x:f>Source!E21</x:f>
        <x:v>28.2</x:v>
      </x:c>
      <x:c r="G31" s="8" t="n">
        <x:f>Source!F21</x:f>
        <x:v>30</x:v>
      </x:c>
      <x:c r="H31" s="8" t="n">
        <x:f>Source!G21</x:f>
        <x:v>34.4</x:v>
      </x:c>
      <x:c r="I31" s="8" t="n">
        <x:f>Source!H21</x:f>
        <x:v>36.8</x:v>
      </x:c>
      <x:c r="J31" s="8" t="n">
        <x:f>Source!I21</x:f>
        <x:v>38</x:v>
      </x:c>
      <x:c r="K31" s="8" t="n">
        <x:f>Source!J21</x:f>
        <x:v>40</x:v>
      </x:c>
      <x:c r="L31" s="8" t="n">
        <x:f>Source!K21</x:f>
        <x:v>42</x:v>
      </x:c>
      <x:c r="M31" s="8" t="n">
        <x:f>Source!L21</x:f>
        <x:v>45.5</x:v>
      </x:c>
      <x:c r="N31" s="8" t="n">
        <x:f>Source!M21</x:f>
        <x:v>47.5</x:v>
      </x:c>
      <x:c r="O31" s="8" t="n">
        <x:f>Source!N21</x:f>
        <x:v>50</x:v>
      </x:c>
      <x:c r="P31" s="8" t="n">
        <x:f>MIN(P66,Assumptions!D12)</x:f>
        <x:v>50</x:v>
      </x:c>
      <x:c r="Q31" s="8" t="n">
        <x:f>MIN(Q66,Assumptions!D12)</x:f>
        <x:v>50</x:v>
      </x:c>
      <x:c r="R31" s="8" t="n">
        <x:f>MIN(R66,Assumptions!D12)</x:f>
        <x:v>50</x:v>
      </x:c>
      <x:c r="S31" s="8" t="n">
        <x:f>MIN(S66,Assumptions!D12)</x:f>
        <x:v>50</x:v>
      </x:c>
      <x:c r="T31" s="8" t="n">
        <x:f>MIN(T66,Assumptions!E12)</x:f>
        <x:v>50</x:v>
      </x:c>
      <x:c r="U31" s="8" t="n">
        <x:f>MIN(U66,Assumptions!E12)</x:f>
        <x:v>50</x:v>
      </x:c>
      <x:c r="V31" s="8" t="n">
        <x:f>MIN(V66,Assumptions!E12)</x:f>
        <x:v>50</x:v>
      </x:c>
      <x:c r="W31" s="8" t="n">
        <x:f>MIN(W66,Assumptions!E12)</x:f>
        <x:v>50</x:v>
      </x:c>
      <x:c r="X31" s="8" t="n">
        <x:f>MIN(X66,Assumptions!F12)</x:f>
        <x:v>50</x:v>
      </x:c>
      <x:c r="Y31" s="8" t="n">
        <x:f>MIN(Y66,Assumptions!F12)</x:f>
        <x:v>50</x:v>
      </x:c>
      <x:c r="Z31" s="8" t="n">
        <x:f>MIN(Z66,Assumptions!F12)</x:f>
        <x:v>50</x:v>
      </x:c>
      <x:c r="AA31" s="8" t="n">
        <x:f>MIN(AA66,Assumptions!F12)</x:f>
        <x:v>50</x:v>
      </x:c>
    </x:row>
    <x:row r="32" ht="21" customHeight="1">
      <x:c r="A32" s="1"/>
      <x:c r="B32" s="1"/>
      <x:c r="C32" s="27" t="str">
        <x:v>Total current liabilities</x:v>
      </x:c>
      <x:c r="D32" s="28" t="n">
        <x:f>Source!C22</x:f>
        <x:v>102.3</x:v>
      </x:c>
      <x:c r="E32" s="28" t="n">
        <x:f>Source!D22</x:f>
        <x:v>108.9</x:v>
      </x:c>
      <x:c r="F32" s="28" t="n">
        <x:f>Source!E22</x:f>
        <x:v>107.4</x:v>
      </x:c>
      <x:c r="G32" s="28" t="n">
        <x:f>Source!F22</x:f>
        <x:v>110</x:v>
      </x:c>
      <x:c r="H32" s="28" t="n">
        <x:f>Source!G22</x:f>
        <x:v>136.4</x:v>
      </x:c>
      <x:c r="I32" s="28" t="n">
        <x:f>Source!H22</x:f>
        <x:v>134.8</x:v>
      </x:c>
      <x:c r="J32" s="28" t="n">
        <x:f>Source!I22</x:f>
        <x:v>139</x:v>
      </x:c>
      <x:c r="K32" s="28" t="n">
        <x:f>Source!J22</x:f>
        <x:v>140</x:v>
      </x:c>
      <x:c r="L32" s="28" t="n">
        <x:f>Source!K22</x:f>
        <x:v>160.8</x:v>
      </x:c>
      <x:c r="M32" s="28" t="n">
        <x:f>Source!L22</x:f>
        <x:v>161.9</x:v>
      </x:c>
      <x:c r="N32" s="28" t="n">
        <x:f>Source!M22</x:f>
        <x:v>165.1</x:v>
      </x:c>
      <x:c r="O32" s="28" t="n">
        <x:f>Source!N22</x:f>
        <x:v>170</x:v>
      </x:c>
      <x:c r="P32" s="29" t="n">
        <x:f>SUM(P30:P31)</x:f>
        <x:v>190.19379120879117</x:v>
      </x:c>
      <x:c r="Q32" s="29" t="n">
        <x:f>SUM(Q30:Q31)</x:f>
        <x:v>188.80278260869562</x:v>
      </x:c>
      <x:c r="R32" s="29" t="n">
        <x:f>SUM(R30:R31)</x:f>
        <x:v>192.296</x:v>
      </x:c>
      <x:c r="S32" s="29" t="n">
        <x:f>SUM(S30:S31)</x:f>
        <x:v>198.78518518518518</x:v>
      </x:c>
      <x:c r="T32" s="29" t="n">
        <x:f>SUM(T30:T31)</x:f>
        <x:v>204.509135</x:v>
      </x:c>
      <x:c r="U32" s="29" t="n">
        <x:f>SUM(U30:U31)</x:f>
        <x:v>201.2950330434783</x:v>
      </x:c>
      <x:c r="V32" s="29" t="n">
        <x:f>SUM(V30:V31)</x:f>
        <x:v>205.10264</x:v>
      </x:c>
      <x:c r="W32" s="29" t="n">
        <x:f>SUM(W30:W31)</x:f>
        <x:v>212.17585185185186</x:v>
      </x:c>
      <x:c r="X32" s="29" t="n">
        <x:f>SUM(X30:X31)</x:f>
        <x:v>216.86986579999999</x:v>
      </x:c>
      <x:c r="Y32" s="29" t="n">
        <x:f>SUM(Y30:Y31)</x:f>
        <x:v>213.39863568695654</x:v>
      </x:c>
      <x:c r="Z32" s="29" t="n">
        <x:f>SUM(Z30:Z31)</x:f>
        <x:v>217.51085120000002</x:v>
      </x:c>
      <x:c r="AA32" s="29" t="n">
        <x:f>SUM(AA30:AA31)</x:f>
        <x:v>225.14992</x:v>
      </x:c>
    </x:row>
    <x:row r="33" ht="21" customHeight="1">
      <x:c r="A33" s="1"/>
      <x:c r="B33" s="1"/>
      <x:c r="C33" s="1" t="str">
        <x:v>Long-term debt</x:v>
      </x:c>
      <x:c r="D33" s="8" t="n">
        <x:f>Source!C23</x:f>
        <x:v>357.5</x:v>
      </x:c>
      <x:c r="E33" s="8" t="n">
        <x:f>Source!D23</x:f>
        <x:v>355.625</x:v>
      </x:c>
      <x:c r="F33" s="8" t="n">
        <x:f>Source!E23</x:f>
        <x:v>354.21875</x:v>
      </x:c>
      <x:c r="G33" s="8" t="n">
        <x:f>Source!F23</x:f>
        <x:v>350</x:v>
      </x:c>
      <x:c r="H33" s="8" t="n">
        <x:f>Source!G23</x:f>
        <x:v>342.5</x:v>
      </x:c>
      <x:c r="I33" s="8" t="n">
        <x:f>Source!H23</x:f>
        <x:v>336.875</x:v>
      </x:c>
      <x:c r="J33" s="8" t="n">
        <x:f>Source!I23</x:f>
        <x:v>332.65625</x:v>
      </x:c>
      <x:c r="K33" s="8" t="n">
        <x:f>Source!J23</x:f>
        <x:v>320</x:v>
      </x:c>
      <x:c r="L33" s="8" t="n">
        <x:f>Source!K23</x:f>
        <x:v>315</x:v>
      </x:c>
      <x:c r="M33" s="8" t="n">
        <x:f>Source!L23</x:f>
        <x:v>311.25</x:v>
      </x:c>
      <x:c r="N33" s="8" t="n">
        <x:f>Source!M23</x:f>
        <x:v>308.4375</x:v>
      </x:c>
      <x:c r="O33" s="8" t="n">
        <x:f>Source!N23</x:f>
        <x:v>300</x:v>
      </x:c>
      <x:c r="P33" s="20" t="n">
        <x:f>P66-P31</x:f>
        <x:v>287.5</x:v>
      </x:c>
      <x:c r="Q33" s="20" t="n">
        <x:f>Q66-Q31</x:f>
        <x:v>275</x:v>
      </x:c>
      <x:c r="R33" s="20" t="n">
        <x:f>R66-R31</x:f>
        <x:v>262.5</x:v>
      </x:c>
      <x:c r="S33" s="20" t="n">
        <x:f>S66-S31</x:f>
        <x:v>250</x:v>
      </x:c>
      <x:c r="T33" s="20" t="n">
        <x:f>T66-T31</x:f>
        <x:v>237.5</x:v>
      </x:c>
      <x:c r="U33" s="20" t="n">
        <x:f>U66-U31</x:f>
        <x:v>225</x:v>
      </x:c>
      <x:c r="V33" s="20" t="n">
        <x:f>V66-V31</x:f>
        <x:v>212.5</x:v>
      </x:c>
      <x:c r="W33" s="20" t="n">
        <x:f>W66-W31</x:f>
        <x:v>200</x:v>
      </x:c>
      <x:c r="X33" s="20" t="n">
        <x:f>X66-X31</x:f>
        <x:v>187.5</x:v>
      </x:c>
      <x:c r="Y33" s="20" t="n">
        <x:f>Y66-Y31</x:f>
        <x:v>175</x:v>
      </x:c>
      <x:c r="Z33" s="20" t="n">
        <x:f>Z66-Z31</x:f>
        <x:v>162.5</x:v>
      </x:c>
      <x:c r="AA33" s="20" t="n">
        <x:f>AA66-AA31</x:f>
        <x:v>150</x:v>
      </x:c>
    </x:row>
    <x:row r="34" ht="21" customHeight="1">
      <x:c r="A34" s="1"/>
      <x:c r="B34" s="1"/>
      <x:c r="C34" s="27" t="str">
        <x:v>Total liabilities</x:v>
      </x:c>
      <x:c r="D34" s="28" t="n">
        <x:f>Source!C24</x:f>
        <x:v>459.8</x:v>
      </x:c>
      <x:c r="E34" s="28" t="n">
        <x:f>Source!D24</x:f>
        <x:v>464.525</x:v>
      </x:c>
      <x:c r="F34" s="28" t="n">
        <x:f>Source!E24</x:f>
        <x:v>461.61875</x:v>
      </x:c>
      <x:c r="G34" s="28" t="n">
        <x:f>Source!F24</x:f>
        <x:v>460</x:v>
      </x:c>
      <x:c r="H34" s="28" t="n">
        <x:f>Source!G24</x:f>
        <x:v>478.9</x:v>
      </x:c>
      <x:c r="I34" s="28" t="n">
        <x:f>Source!H24</x:f>
        <x:v>471.675</x:v>
      </x:c>
      <x:c r="J34" s="28" t="n">
        <x:f>Source!I24</x:f>
        <x:v>471.65625</x:v>
      </x:c>
      <x:c r="K34" s="28" t="n">
        <x:f>Source!J24</x:f>
        <x:v>460</x:v>
      </x:c>
      <x:c r="L34" s="28" t="n">
        <x:f>Source!K24</x:f>
        <x:v>475.8</x:v>
      </x:c>
      <x:c r="M34" s="28" t="n">
        <x:f>Source!L24</x:f>
        <x:v>473.15</x:v>
      </x:c>
      <x:c r="N34" s="28" t="n">
        <x:f>Source!M24</x:f>
        <x:v>473.5375</x:v>
      </x:c>
      <x:c r="O34" s="28" t="n">
        <x:f>Source!N24</x:f>
        <x:v>470</x:v>
      </x:c>
      <x:c r="P34" s="29" t="n">
        <x:f>P32+P33</x:f>
        <x:v>477.69379120879114</x:v>
      </x:c>
      <x:c r="Q34" s="29" t="n">
        <x:f>Q32+Q33</x:f>
        <x:v>463.8027826086956</x:v>
      </x:c>
      <x:c r="R34" s="29" t="n">
        <x:f>R32+R33</x:f>
        <x:v>454.796</x:v>
      </x:c>
      <x:c r="S34" s="29" t="n">
        <x:f>S32+S33</x:f>
        <x:v>448.7851851851852</x:v>
      </x:c>
      <x:c r="T34" s="29" t="n">
        <x:f>T32+T33</x:f>
        <x:v>442.009135</x:v>
      </x:c>
      <x:c r="U34" s="29" t="n">
        <x:f>U32+U33</x:f>
        <x:v>426.29503304347827</x:v>
      </x:c>
      <x:c r="V34" s="29" t="n">
        <x:f>V32+V33</x:f>
        <x:v>417.60264</x:v>
      </x:c>
      <x:c r="W34" s="29" t="n">
        <x:f>W32+W33</x:f>
        <x:v>412.17585185185186</x:v>
      </x:c>
      <x:c r="X34" s="29" t="n">
        <x:f>X32+X33</x:f>
        <x:v>404.36986579999996</x:v>
      </x:c>
      <x:c r="Y34" s="29" t="n">
        <x:f>Y32+Y33</x:f>
        <x:v>388.39863568695654</x:v>
      </x:c>
      <x:c r="Z34" s="29" t="n">
        <x:f>Z32+Z33</x:f>
        <x:v>380.01085120000005</x:v>
      </x:c>
      <x:c r="AA34" s="29" t="n">
        <x:f>AA32+AA33</x:f>
        <x:v>375.14992</x:v>
      </x:c>
    </x:row>
    <x:row r="35" ht="21" customHeight="1">
      <x:c r="A35" s="1"/>
      <x:c r="B35" s="1"/>
      <x:c r="C35" s="1" t="str">
        <x:v>Common stock</x:v>
      </x:c>
      <x:c r="D35" s="8" t="n">
        <x:f>Source!C25</x:f>
        <x:v>100</x:v>
      </x:c>
      <x:c r="E35" s="8" t="n">
        <x:f>Source!D25</x:f>
        <x:v>126</x:v>
      </x:c>
      <x:c r="F35" s="8" t="n">
        <x:f>Source!E25</x:f>
        <x:v>131</x:v>
      </x:c>
      <x:c r="G35" s="8" t="n">
        <x:f>Source!F25</x:f>
        <x:v>158</x:v>
      </x:c>
      <x:c r="H35" s="8" t="n">
        <x:f>Source!G25</x:f>
        <x:v>103</x:v>
      </x:c>
      <x:c r="I35" s="8" t="n">
        <x:f>Source!H25</x:f>
        <x:v>167</x:v>
      </x:c>
      <x:c r="J35" s="8" t="n">
        <x:f>Source!I25</x:f>
        <x:v>168</x:v>
      </x:c>
      <x:c r="K35" s="8" t="n">
        <x:f>Source!J25</x:f>
        <x:v>225</x:v>
      </x:c>
      <x:c r="L35" s="8" t="n">
        <x:f>Source!K25</x:f>
        <x:v>122</x:v>
      </x:c>
      <x:c r="M35" s="8" t="n">
        <x:f>Source!L25</x:f>
        <x:v>200</x:v>
      </x:c>
      <x:c r="N35" s="8" t="n">
        <x:f>Source!M25</x:f>
        <x:v>209</x:v>
      </x:c>
      <x:c r="O35" s="8" t="n">
        <x:f>Source!N25</x:f>
        <x:v>265</x:v>
      </x:c>
      <x:c r="P35" s="20" t="n">
        <x:f>O35+P50</x:f>
        <x:v>265</x:v>
      </x:c>
      <x:c r="Q35" s="20" t="n">
        <x:f>P35+Q50</x:f>
        <x:v>265</x:v>
      </x:c>
      <x:c r="R35" s="20" t="n">
        <x:f>Q35+R50</x:f>
        <x:v>265</x:v>
      </x:c>
      <x:c r="S35" s="20" t="n">
        <x:f>R35+S50</x:f>
        <x:v>265</x:v>
      </x:c>
      <x:c r="T35" s="20" t="n">
        <x:f>S35+T50</x:f>
        <x:v>265</x:v>
      </x:c>
      <x:c r="U35" s="20" t="n">
        <x:f>T35+U50</x:f>
        <x:v>265</x:v>
      </x:c>
      <x:c r="V35" s="20" t="n">
        <x:f>U35+V50</x:f>
        <x:v>265</x:v>
      </x:c>
      <x:c r="W35" s="20" t="n">
        <x:f>V35+W50</x:f>
        <x:v>265</x:v>
      </x:c>
      <x:c r="X35" s="20" t="n">
        <x:f>W35+X50</x:f>
        <x:v>265</x:v>
      </x:c>
      <x:c r="Y35" s="20" t="n">
        <x:f>X35+Y50</x:f>
        <x:v>265</x:v>
      </x:c>
      <x:c r="Z35" s="20" t="n">
        <x:f>Y35+Z50</x:f>
        <x:v>265</x:v>
      </x:c>
      <x:c r="AA35" s="20" t="n">
        <x:f>Z35+AA50</x:f>
        <x:v>265</x:v>
      </x:c>
    </x:row>
    <x:row r="36" ht="21" customHeight="1">
      <x:c r="A36" s="1"/>
      <x:c r="B36" s="1"/>
      <x:c r="C36" s="1" t="str">
        <x:v>Retained earnings</x:v>
      </x:c>
      <x:c r="D36" s="8" t="n">
        <x:f>Source!C26</x:f>
        <x:v>137.4</x:v>
      </x:c>
      <x:c r="E36" s="8" t="n">
        <x:f>Source!D26</x:f>
        <x:v>156.1</x:v>
      </x:c>
      <x:c r="F36" s="8" t="n">
        <x:f>Source!E26</x:f>
        <x:v>178.2</x:v>
      </x:c>
      <x:c r="G36" s="8" t="n">
        <x:f>Source!F26</x:f>
        <x:v>202</x:v>
      </x:c>
      <x:c r="H36" s="8" t="n">
        <x:f>Source!G26</x:f>
        <x:v>225.92</x:v>
      </x:c>
      <x:c r="I36" s="8" t="n">
        <x:f>Source!H26</x:f>
        <x:v>249.84</x:v>
      </x:c>
      <x:c r="J36" s="8" t="n">
        <x:f>Source!I26</x:f>
        <x:v>276.88</x:v>
      </x:c>
      <x:c r="K36" s="8" t="n">
        <x:f>Source!J26</x:f>
        <x:v>306</x:v>
      </x:c>
      <x:c r="L36" s="8" t="n">
        <x:f>Source!K26</x:f>
        <x:v>334.8</x:v>
      </x:c>
      <x:c r="M36" s="8" t="n">
        <x:f>Source!L26</x:f>
        <x:v>362.4</x:v>
      </x:c>
      <x:c r="N36" s="8" t="n">
        <x:f>Source!M26</x:f>
        <x:v>393.6</x:v>
      </x:c>
      <x:c r="O36" s="8" t="n">
        <x:f>Source!N26</x:f>
        <x:v>426</x:v>
      </x:c>
      <x:c r="P36" s="20" t="n">
        <x:f>O36+P20+P51</x:f>
        <x:v>450.836288028169</x:v>
      </x:c>
      <x:c r="Q36" s="20" t="n">
        <x:f>P36+Q20+Q51</x:f>
        <x:v>474.60176830985915</x:v>
      </x:c>
      <x:c r="R36" s="20" t="n">
        <x:f>Q36+R20+R51</x:f>
        <x:v>502.50879084507045</x:v>
      </x:c>
      <x:c r="S36" s="20" t="n">
        <x:f>R36+S20+S51</x:f>
        <x:v>532.5526056338028</x:v>
      </x:c>
      <x:c r="T36" s="20" t="n">
        <x:f>S36+T20+T51</x:f>
        <x:v>560.4791331760564</x:v>
      </x:c>
      <x:c r="U36" s="20" t="n">
        <x:f>T36+U20+U51</x:f>
        <x:v>587.226596471831</x:v>
      </x:c>
      <x:c r="V36" s="20" t="n">
        <x:f>U36+V20+V51</x:f>
        <x:v>618.4764570211269</x:v>
      </x:c>
      <x:c r="W36" s="20" t="n">
        <x:f>V36+W20+W51</x:f>
        <x:v>652.0435373239437</x:v>
      </x:c>
      <x:c r="X36" s="20" t="n">
        <x:f>W36+X20+X51</x:f>
        <x:v>682.9805955202818</x:v>
      </x:c>
      <x:c r="Y36" s="20" t="n">
        <x:f>X36+Y20+Y51</x:f>
        <x:v>712.633700950141</x:v>
      </x:c>
      <x:c r="Z36" s="20" t="n">
        <x:f>Y36+Z20+Z51</x:f>
        <x:v>747.1388320335213</x:v>
      </x:c>
      <x:c r="AA36" s="20" t="n">
        <x:f>Z36+AA20+AA51</x:f>
        <x:v>784.1359970704227</x:v>
      </x:c>
    </x:row>
    <x:row r="37" ht="21" customHeight="1">
      <x:c r="A37" s="1"/>
      <x:c r="B37" s="1"/>
      <x:c r="C37" s="1" t="str">
        <x:v>Unresolved opening equity difference</x:v>
      </x:c>
      <x:c r="D37" s="8" t="n">
        <x:f>Assumptions!$D$31</x:f>
        <x:v>-0.2</x:v>
      </x:c>
      <x:c r="E37" s="8" t="n">
        <x:f>Assumptions!$D$31</x:f>
        <x:v>-0.2</x:v>
      </x:c>
      <x:c r="F37" s="8" t="n">
        <x:f>Assumptions!$D$31</x:f>
        <x:v>-0.2</x:v>
      </x:c>
      <x:c r="G37" s="8" t="n">
        <x:f>Assumptions!$D$31</x:f>
        <x:v>-0.2</x:v>
      </x:c>
      <x:c r="H37" s="8" t="n">
        <x:f>Assumptions!$D$31</x:f>
        <x:v>-0.2</x:v>
      </x:c>
      <x:c r="I37" s="8" t="n">
        <x:f>Assumptions!$D$31</x:f>
        <x:v>-0.2</x:v>
      </x:c>
      <x:c r="J37" s="8" t="n">
        <x:f>Assumptions!$D$31</x:f>
        <x:v>-0.2</x:v>
      </x:c>
      <x:c r="K37" s="8" t="n">
        <x:f>Assumptions!$D$31</x:f>
        <x:v>-0.2</x:v>
      </x:c>
      <x:c r="L37" s="8" t="n">
        <x:f>Assumptions!$D$31</x:f>
        <x:v>-0.2</x:v>
      </x:c>
      <x:c r="M37" s="8" t="n">
        <x:f>Assumptions!$D$31</x:f>
        <x:v>-0.2</x:v>
      </x:c>
      <x:c r="N37" s="8" t="n">
        <x:f>Assumptions!$D$31</x:f>
        <x:v>-0.2</x:v>
      </x:c>
      <x:c r="O37" s="8" t="n">
        <x:f>Assumptions!$D$31</x:f>
        <x:v>-0.2</x:v>
      </x:c>
      <x:c r="P37" s="20" t="n">
        <x:f>O37</x:f>
        <x:v>-0.2</x:v>
      </x:c>
      <x:c r="Q37" s="20" t="n">
        <x:f>P37</x:f>
        <x:v>-0.2</x:v>
      </x:c>
      <x:c r="R37" s="20" t="n">
        <x:f>Q37</x:f>
        <x:v>-0.2</x:v>
      </x:c>
      <x:c r="S37" s="20" t="n">
        <x:f>R37</x:f>
        <x:v>-0.2</x:v>
      </x:c>
      <x:c r="T37" s="20" t="n">
        <x:f>S37</x:f>
        <x:v>-0.2</x:v>
      </x:c>
      <x:c r="U37" s="20" t="n">
        <x:f>T37</x:f>
        <x:v>-0.2</x:v>
      </x:c>
      <x:c r="V37" s="20" t="n">
        <x:f>U37</x:f>
        <x:v>-0.2</x:v>
      </x:c>
      <x:c r="W37" s="20" t="n">
        <x:f>V37</x:f>
        <x:v>-0.2</x:v>
      </x:c>
      <x:c r="X37" s="20" t="n">
        <x:f>W37</x:f>
        <x:v>-0.2</x:v>
      </x:c>
      <x:c r="Y37" s="20" t="n">
        <x:f>X37</x:f>
        <x:v>-0.2</x:v>
      </x:c>
      <x:c r="Z37" s="20" t="n">
        <x:f>Y37</x:f>
        <x:v>-0.2</x:v>
      </x:c>
      <x:c r="AA37" s="20" t="n">
        <x:f>Z37</x:f>
        <x:v>-0.2</x:v>
      </x:c>
    </x:row>
    <x:row r="38" ht="21" customHeight="1">
      <x:c r="A38" s="1"/>
      <x:c r="B38" s="1"/>
      <x:c r="C38" s="27" t="str">
        <x:v>Total liabilities and equity</x:v>
      </x:c>
      <x:c r="D38" s="29" t="n">
        <x:f>SUM(D34:D37)</x:f>
        <x:v>696.9999999999999</x:v>
      </x:c>
      <x:c r="E38" s="29" t="n">
        <x:f>SUM(E34:E37)</x:f>
        <x:v>746.425</x:v>
      </x:c>
      <x:c r="F38" s="29" t="n">
        <x:f>SUM(F34:F37)</x:f>
        <x:v>770.6187499999999</x:v>
      </x:c>
      <x:c r="G38" s="29" t="n">
        <x:f>SUM(G34:G37)</x:f>
        <x:v>819.8</x:v>
      </x:c>
      <x:c r="H38" s="29" t="n">
        <x:f>SUM(H34:H37)</x:f>
        <x:v>807.6199999999999</x:v>
      </x:c>
      <x:c r="I38" s="29" t="n">
        <x:f>SUM(I34:I37)</x:f>
        <x:v>888.3149999999999</x:v>
      </x:c>
      <x:c r="J38" s="29" t="n">
        <x:f>SUM(J34:J37)</x:f>
        <x:v>916.33625</x:v>
      </x:c>
      <x:c r="K38" s="29" t="n">
        <x:f>SUM(K34:K37)</x:f>
        <x:v>990.8</x:v>
      </x:c>
      <x:c r="L38" s="29" t="n">
        <x:f>SUM(L34:L37)</x:f>
        <x:v>932.3999999999999</x:v>
      </x:c>
      <x:c r="M38" s="29" t="n">
        <x:f>SUM(M34:M37)</x:f>
        <x:v>1035.35</x:v>
      </x:c>
      <x:c r="N38" s="29" t="n">
        <x:f>SUM(N34:N37)</x:f>
        <x:v>1075.9375</x:v>
      </x:c>
      <x:c r="O38" s="29" t="n">
        <x:f>SUM(O34:O37)</x:f>
        <x:v>1160.8</x:v>
      </x:c>
      <x:c r="P38" s="29" t="n">
        <x:f>SUM(P34:P37)</x:f>
        <x:v>1193.33007923696</x:v>
      </x:c>
      <x:c r="Q38" s="29" t="n">
        <x:f>SUM(Q34:Q37)</x:f>
        <x:v>1203.2045509185548</x:v>
      </x:c>
      <x:c r="R38" s="29" t="n">
        <x:f>SUM(R34:R37)</x:f>
        <x:v>1222.1047908450705</x:v>
      </x:c>
      <x:c r="S38" s="29" t="n">
        <x:f>SUM(S34:S37)</x:f>
        <x:v>1246.137790818988</x:v>
      </x:c>
      <x:c r="T38" s="29" t="n">
        <x:f>SUM(T34:T37)</x:f>
        <x:v>1267.2882681760564</x:v>
      </x:c>
      <x:c r="U38" s="29" t="n">
        <x:f>SUM(U34:U37)</x:f>
        <x:v>1278.3216295153093</x:v>
      </x:c>
      <x:c r="V38" s="29" t="n">
        <x:f>SUM(V34:V37)</x:f>
        <x:v>1300.8790970211269</x:v>
      </x:c>
      <x:c r="W38" s="29" t="n">
        <x:f>SUM(W34:W37)</x:f>
        <x:v>1329.0193891757956</x:v>
      </x:c>
      <x:c r="X38" s="29" t="n">
        <x:f>SUM(X34:X37)</x:f>
        <x:v>1352.1504613202817</x:v>
      </x:c>
      <x:c r="Y38" s="29" t="n">
        <x:f>SUM(Y34:Y37)</x:f>
        <x:v>1365.8323366370976</x:v>
      </x:c>
      <x:c r="Z38" s="29" t="n">
        <x:f>SUM(Z34:Z37)</x:f>
        <x:v>1391.9496832335215</x:v>
      </x:c>
      <x:c r="AA38" s="29" t="n">
        <x:f>SUM(AA34:AA37)</x:f>
        <x:v>1424.0859170704227</x:v>
      </x:c>
    </x:row>
    <x:row r="39" ht="21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A40" s="1"/>
      <x:c r="B40" s="1"/>
      <x:c r="C40" s="15" t="str">
        <x:v>Cash flow statement</x:v>
      </x:c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  <x:c r="AA40" s="16"/>
    </x:row>
    <x:row r="41" ht="21" customHeight="1">
      <x:c r="A41" s="1"/>
      <x:c r="B41" s="1"/>
      <x:c r="C41" s="1" t="str">
        <x:v>Net income</x:v>
      </x:c>
      <x:c r="D41" s="8" t="n">
        <x:f>Source!C28</x:f>
        <x:v>20.4</x:v>
      </x:c>
      <x:c r="E41" s="8" t="n">
        <x:f>Source!D28</x:f>
        <x:v>18.7</x:v>
      </x:c>
      <x:c r="F41" s="8" t="n">
        <x:f>Source!E28</x:f>
        <x:v>22.1</x:v>
      </x:c>
      <x:c r="G41" s="8" t="n">
        <x:f>Source!F28</x:f>
        <x:v>23.8</x:v>
      </x:c>
      <x:c r="H41" s="8" t="n">
        <x:f>Source!G28</x:f>
        <x:v>23.92</x:v>
      </x:c>
      <x:c r="I41" s="8" t="n">
        <x:f>Source!H28</x:f>
        <x:v>23.92</x:v>
      </x:c>
      <x:c r="J41" s="8" t="n">
        <x:f>Source!I28</x:f>
        <x:v>27.04</x:v>
      </x:c>
      <x:c r="K41" s="8" t="n">
        <x:f>Source!J28</x:f>
        <x:v>29.12</x:v>
      </x:c>
      <x:c r="L41" s="8" t="n">
        <x:f>Source!K28</x:f>
        <x:v>28.8</x:v>
      </x:c>
      <x:c r="M41" s="8" t="n">
        <x:f>Source!L28</x:f>
        <x:v>27.6</x:v>
      </x:c>
      <x:c r="N41" s="8" t="n">
        <x:f>Source!M28</x:f>
        <x:v>31.2</x:v>
      </x:c>
      <x:c r="O41" s="8" t="n">
        <x:f>Source!N28</x:f>
        <x:v>32.4</x:v>
      </x:c>
      <x:c r="P41" s="20" t="n">
        <x:f>P20</x:f>
        <x:v>24.836288028169022</x:v>
      </x:c>
      <x:c r="Q41" s="20" t="n">
        <x:f>Q20</x:f>
        <x:v>23.765480281690152</x:v>
      </x:c>
      <x:c r="R41" s="20" t="n">
        <x:f>R20</x:f>
        <x:v>27.907022535211286</x:v>
      </x:c>
      <x:c r="S41" s="20" t="n">
        <x:f>S20</x:f>
        <x:v>30.04381478873241</x:v>
      </x:c>
      <x:c r="T41" s="20" t="n">
        <x:f>T20</x:f>
        <x:v>27.92652754225354</x:v>
      </x:c>
      <x:c r="U41" s="20" t="n">
        <x:f>U20</x:f>
        <x:v>26.747463295774665</x:v>
      </x:c>
      <x:c r="V41" s="20" t="n">
        <x:f>V20</x:f>
        <x:v>31.249860549295782</x:v>
      </x:c>
      <x:c r="W41" s="20" t="n">
        <x:f>W20</x:f>
        <x:v>33.56708030281691</x:v>
      </x:c>
      <x:c r="X41" s="20" t="n">
        <x:f>X20</x:f>
        <x:v>30.937058196338015</x:v>
      </x:c>
      <x:c r="Y41" s="20" t="n">
        <x:f>Y20</x:f>
        <x:v>29.65310542985919</x:v>
      </x:c>
      <x:c r="Z41" s="20" t="n">
        <x:f>Z20</x:f>
        <x:v>34.50513108338029</x:v>
      </x:c>
      <x:c r="AA41" s="20" t="n">
        <x:f>AA20</x:f>
        <x:v>36.997165036901436</x:v>
      </x:c>
    </x:row>
    <x:row r="42" ht="21" customHeight="1">
      <x:c r="A42" s="1"/>
      <x:c r="B42" s="1"/>
      <x:c r="C42" s="1" t="str">
        <x:v>Reported / modelled noncash add-back</x:v>
      </x:c>
      <x:c r="D42" s="2" t="n">
        <x:v>0</x:v>
      </x:c>
      <x:c r="E42" s="2" t="n">
        <x:v>0</x:v>
      </x:c>
      <x:c r="F42" s="2" t="n">
        <x:v>0</x:v>
      </x:c>
      <x:c r="G42" s="2" t="n">
        <x:v>0</x:v>
      </x:c>
      <x:c r="H42" s="2" t="n">
        <x:v>0</x:v>
      </x:c>
      <x:c r="I42" s="2" t="n">
        <x:v>0</x:v>
      </x:c>
      <x:c r="J42" s="2" t="n">
        <x:v>0</x:v>
      </x:c>
      <x:c r="K42" s="2" t="n">
        <x:v>0</x:v>
      </x:c>
      <x:c r="L42" s="2" t="n">
        <x:v>0</x:v>
      </x:c>
      <x:c r="M42" s="2" t="n">
        <x:v>0</x:v>
      </x:c>
      <x:c r="N42" s="2" t="n">
        <x:v>0</x:v>
      </x:c>
      <x:c r="O42" s="2" t="n">
        <x:v>0</x:v>
      </x:c>
      <x:c r="P42" s="20" t="n">
        <x:f>P15</x:f>
        <x:v>15.309145833333334</x:v>
      </x:c>
      <x:c r="Q42" s="20" t="n">
        <x:f>Q15</x:f>
        <x:v>15.914375</x:v>
      </x:c>
      <x:c r="R42" s="20" t="n">
        <x:f>R15</x:f>
        <x:v>16.550083333333333</x:v>
      </x:c>
      <x:c r="S42" s="20" t="n">
        <x:f>S15</x:f>
        <x:v>17.251104166666668</x:v>
      </x:c>
      <x:c r="T42" s="20" t="n">
        <x:f>T15</x:f>
        <x:v>17.949468958333334</x:v>
      </x:c>
      <x:c r="U42" s="20" t="n">
        <x:f>U15</x:f>
        <x:v>18.60916875</x:v>
      </x:c>
      <x:c r="V42" s="20" t="n">
        <x:f>V15</x:f>
        <x:v>19.302090833333335</x:v>
      </x:c>
      <x:c r="W42" s="20" t="n">
        <x:f>W15</x:f>
        <x:v>20.066203541666667</x:v>
      </x:c>
      <x:c r="X42" s="20" t="n">
        <x:f>X15</x:f>
        <x:v>20.824051475</x:v>
      </x:c>
      <x:c r="Y42" s="20" t="n">
        <x:f>Y15</x:f>
        <x:v>21.536527250000002</x:v>
      </x:c>
      <x:c r="Z42" s="20" t="n">
        <x:f>Z15</x:f>
        <x:v>22.284883100000002</x:v>
      </x:c>
      <x:c r="AA42" s="20" t="n">
        <x:f>AA15</x:f>
        <x:v>23.110124825</x:v>
      </x:c>
    </x:row>
    <x:row r="43" ht="21" customHeight="1">
      <x:c r="A43" s="1"/>
      <x:c r="B43" s="1"/>
      <x:c r="C43" s="1" t="str">
        <x:v>Cash effect of receivables</x:v>
      </x:c>
      <x:c r="D43" s="8" t="n">
        <x:f>Source!C29</x:f>
        <x:v>-1.5</x:v>
      </x:c>
      <x:c r="E43" s="8" t="n">
        <x:f>Source!D29</x:f>
        <x:v>-6.6</x:v>
      </x:c>
      <x:c r="F43" s="8" t="n">
        <x:f>Source!E29</x:f>
        <x:v>-3.3</x:v>
      </x:c>
      <x:c r="G43" s="8" t="n">
        <x:f>Source!F29</x:f>
        <x:v>-6.6</x:v>
      </x:c>
      <x:c r="H43" s="8" t="n">
        <x:f>Source!G29</x:f>
        <x:v>-1.8</x:v>
      </x:c>
      <x:c r="I43" s="8" t="n">
        <x:f>Source!H29</x:f>
        <x:v>-7.8</x:v>
      </x:c>
      <x:c r="J43" s="8" t="n">
        <x:f>Source!I29</x:f>
        <x:v>-3.9</x:v>
      </x:c>
      <x:c r="K43" s="8" t="n">
        <x:f>Source!J29</x:f>
        <x:v>-6.5</x:v>
      </x:c>
      <x:c r="L43" s="8" t="n">
        <x:f>Source!K29</x:f>
        <x:v>4</x:v>
      </x:c>
      <x:c r="M43" s="8" t="n">
        <x:f>Source!L29</x:f>
        <x:v>-10.5</x:v>
      </x:c>
      <x:c r="N43" s="8" t="n">
        <x:f>Source!M29</x:f>
        <x:v>-6</x:v>
      </x:c>
      <x:c r="O43" s="8" t="n">
        <x:f>Source!N29</x:f>
        <x:v>-7.5</x:v>
      </x:c>
      <x:c r="P43" s="20" t="n">
        <x:f>O24-P24</x:f>
        <x:v>11.58276923076923</x:v>
      </x:c>
      <x:c r="Q43" s="20" t="n">
        <x:f>P24-Q24</x:f>
        <x:v>-13.10805618729097</x:v>
      </x:c>
      <x:c r="R43" s="20" t="n">
        <x:f>Q24-R24</x:f>
        <x:v>-8.986713043478233</x:v>
      </x:c>
      <x:c r="S43" s="20" t="n">
        <x:f>R24-S24</x:f>
        <x:v>-12.619851851851877</x:v>
      </x:c>
      <x:c r="T43" s="20" t="n">
        <x:f>S24-T24</x:f>
        <x:v>20.580683851851802</x:v>
      </x:c>
      <x:c r="U43" s="20" t="n">
        <x:f>T24-U24</x:f>
        <x:v>-12.611394782608699</x:v>
      </x:c>
      <x:c r="V43" s="20" t="n">
        <x:f>U24-V24</x:f>
        <x:v>-9.795517217391279</x:v>
      </x:c>
      <x:c r="W43" s="20" t="n">
        <x:f>V24-W24</x:f>
        <x:v>-13.75563851851848</x:v>
      </x:c>
      <x:c r="X43" s="20" t="n">
        <x:f>W24-X24</x:f>
        <x:v>23.958457078518478</x:v>
      </x:c>
      <x:c r="Y43" s="20" t="n">
        <x:f>X24-Y24</x:f>
        <x:v>-13.620306365217402</x:v>
      </x:c>
      <x:c r="Z43" s="20" t="n">
        <x:f>Y24-Z24</x:f>
        <x:v>-10.579158594782598</x:v>
      </x:c>
      <x:c r="AA43" s="20" t="n">
        <x:f>Z24-AA24</x:f>
        <x:v>-14.85608959999999</x:v>
      </x:c>
    </x:row>
    <x:row r="44" ht="21" customHeight="1">
      <x:c r="A44" s="1"/>
      <x:c r="B44" s="1"/>
      <x:c r="C44" s="1" t="str">
        <x:v>Cash effect of inventory</x:v>
      </x:c>
      <x:c r="D44" s="8" t="n">
        <x:f>Source!C30</x:f>
        <x:v>-7.5</x:v>
      </x:c>
      <x:c r="E44" s="8" t="n">
        <x:f>Source!D30</x:f>
        <x:v>-9</x:v>
      </x:c>
      <x:c r="F44" s="8" t="n">
        <x:f>Source!E30</x:f>
        <x:v>-4.5</x:v>
      </x:c>
      <x:c r="G44" s="8" t="n">
        <x:f>Source!F30</x:f>
        <x:v>-9</x:v>
      </x:c>
      <x:c r="H44" s="8" t="n">
        <x:f>Source!G30</x:f>
        <x:v>-4.8</x:v>
      </x:c>
      <x:c r="I44" s="8" t="n">
        <x:f>Source!H30</x:f>
        <x:v>-10.8</x:v>
      </x:c>
      <x:c r="J44" s="8" t="n">
        <x:f>Source!I30</x:f>
        <x:v>-5.4</x:v>
      </x:c>
      <x:c r="K44" s="8" t="n">
        <x:f>Source!J30</x:f>
        <x:v>-9</x:v>
      </x:c>
      <x:c r="L44" s="8" t="n">
        <x:f>Source!K30</x:f>
        <x:v>12</x:v>
      </x:c>
      <x:c r="M44" s="8" t="n">
        <x:f>Source!L30</x:f>
        <x:v>-14</x:v>
      </x:c>
      <x:c r="N44" s="8" t="n">
        <x:f>Source!M30</x:f>
        <x:v>-8</x:v>
      </x:c>
      <x:c r="O44" s="8" t="n">
        <x:f>Source!N30</x:f>
        <x:v>-10</x:v>
      </x:c>
      <x:c r="P44" s="20" t="n">
        <x:f>O25-P25</x:f>
        <x:v>-25.15972527472522</x:v>
      </x:c>
      <x:c r="Q44" s="20" t="n">
        <x:f>P25-Q25</x:f>
        <x:v>-17.637691511387146</x:v>
      </x:c>
      <x:c r="R44" s="20" t="n">
        <x:f>Q25-R25</x:f>
        <x:v>-16.33986582258325</x:v>
      </x:c>
      <x:c r="S44" s="20" t="n">
        <x:f>R25-S25</x:f>
        <x:v>-19.949493424584034</x:v>
      </x:c>
      <x:c r="T44" s="20" t="n">
        <x:f>S25-T25</x:f>
        <x:v>30.93574103327967</x:v>
      </x:c>
      <x:c r="U44" s="20" t="n">
        <x:f>T25-U25</x:f>
        <x:v>-16.498149296862607</x:v>
      </x:c>
      <x:c r="V44" s="20" t="n">
        <x:f>U25-V25</x:f>
        <x:v>-17.810453746615735</x:v>
      </x:c>
      <x:c r="W44" s="20" t="n">
        <x:f>V25-W25</x:f>
        <x:v>-21.744947832796527</x:v>
      </x:c>
      <x:c r="X44" s="20" t="n">
        <x:f>W25-X25</x:f>
        <x:v>36.201468076274864</x:v>
      </x:c>
      <x:c r="Y44" s="20" t="n">
        <x:f>X25-Y25</x:f>
        <x:v>-17.818001240611522</x:v>
      </x:c>
      <x:c r="Z44" s="20" t="n">
        <x:f>Y25-Z25</x:f>
        <x:v>-19.23529004634503</x:v>
      </x:c>
      <x:c r="AA44" s="20" t="n">
        <x:f>Z25-AA25</x:f>
        <x:v>-23.484543659420353</x:v>
      </x:c>
    </x:row>
    <x:row r="45" ht="21" customHeight="1">
      <x:c r="A45" s="1"/>
      <x:c r="B45" s="1"/>
      <x:c r="C45" s="1" t="str">
        <x:v>Cash effect of payables</x:v>
      </x:c>
      <x:c r="D45" s="8" t="n">
        <x:f>Source!C31</x:f>
        <x:v>24.8</x:v>
      </x:c>
      <x:c r="E45" s="8" t="n">
        <x:f>Source!D31</x:f>
        <x:v>4.8</x:v>
      </x:c>
      <x:c r="F45" s="8" t="n">
        <x:f>Source!E31</x:f>
        <x:v>-2.4</x:v>
      </x:c>
      <x:c r="G45" s="8" t="n">
        <x:f>Source!F31</x:f>
        <x:v>0.8</x:v>
      </x:c>
      <x:c r="H45" s="8" t="n">
        <x:f>Source!G31</x:f>
        <x:v>22</x:v>
      </x:c>
      <x:c r="I45" s="8" t="n">
        <x:f>Source!H31</x:f>
        <x:v>-4</x:v>
      </x:c>
      <x:c r="J45" s="8" t="n">
        <x:f>Source!I31</x:f>
        <x:v>3</x:v>
      </x:c>
      <x:c r="K45" s="8" t="n">
        <x:f>Source!J31</x:f>
        <x:v>-1</x:v>
      </x:c>
      <x:c r="L45" s="8" t="n">
        <x:f>Source!K31</x:f>
        <x:v>18.8</x:v>
      </x:c>
      <x:c r="M45" s="8" t="n">
        <x:f>Source!L31</x:f>
        <x:v>-2.4</x:v>
      </x:c>
      <x:c r="N45" s="8" t="n">
        <x:f>Source!M31</x:f>
        <x:v>1.2</x:v>
      </x:c>
      <x:c r="O45" s="8" t="n">
        <x:f>Source!N31</x:f>
        <x:v>2.4</x:v>
      </x:c>
      <x:c r="P45" s="20" t="n">
        <x:f>P30-O30</x:f>
        <x:v>20.19379120879117</x:v>
      </x:c>
      <x:c r="Q45" s="20" t="n">
        <x:f>Q30-P30</x:f>
        <x:v>-1.391008600095546</x:v>
      </x:c>
      <x:c r="R45" s="20" t="n">
        <x:f>R30-Q30</x:f>
        <x:v>3.49321739130437</x:v>
      </x:c>
      <x:c r="S45" s="20" t="n">
        <x:f>S30-R30</x:f>
        <x:v>6.4891851851851925</x:v>
      </x:c>
      <x:c r="T45" s="20" t="n">
        <x:f>T30-S30</x:f>
        <x:v>5.723949814814802</x:v>
      </x:c>
      <x:c r="U45" s="20" t="n">
        <x:f>U30-T30</x:f>
        <x:v>-3.214101956521688</x:v>
      </x:c>
      <x:c r="V45" s="20" t="n">
        <x:f>V30-U30</x:f>
        <x:v>3.8076069565217097</x:v>
      </x:c>
      <x:c r="W45" s="20" t="n">
        <x:f>W30-V30</x:f>
        <x:v>7.073211851851852</x:v>
      </x:c>
      <x:c r="X45" s="20" t="n">
        <x:f>X30-W30</x:f>
        <x:v>4.694013948148125</x:v>
      </x:c>
      <x:c r="Y45" s="20" t="n">
        <x:f>Y30-X30</x:f>
        <x:v>-3.471230113043447</x:v>
      </x:c>
      <x:c r="Z45" s="20" t="n">
        <x:f>Z30-Y30</x:f>
        <x:v>4.1122155130434805</x:v>
      </x:c>
      <x:c r="AA45" s="20" t="n">
        <x:f>AA30-Z30</x:f>
        <x:v>7.63906879999999</x:v>
      </x:c>
    </x:row>
    <x:row r="46" ht="21" customHeight="1">
      <x:c r="A46" s="1"/>
      <x:c r="B46" s="1"/>
      <x:c r="C46" s="27" t="str">
        <x:v>Cash from operations</x:v>
      </x:c>
      <x:c r="D46" s="28" t="n">
        <x:f>Source!C32</x:f>
        <x:v>36.2</x:v>
      </x:c>
      <x:c r="E46" s="28" t="n">
        <x:f>Source!D32</x:f>
        <x:v>7.9</x:v>
      </x:c>
      <x:c r="F46" s="28" t="n">
        <x:f>Source!E32</x:f>
        <x:v>11.9</x:v>
      </x:c>
      <x:c r="G46" s="28" t="n">
        <x:f>Source!F32</x:f>
        <x:v>9</x:v>
      </x:c>
      <x:c r="H46" s="28" t="n">
        <x:f>Source!G32</x:f>
        <x:v>39.32</x:v>
      </x:c>
      <x:c r="I46" s="28" t="n">
        <x:f>Source!H32</x:f>
        <x:v>1.32</x:v>
      </x:c>
      <x:c r="J46" s="28" t="n">
        <x:f>Source!I32</x:f>
        <x:v>20.74</x:v>
      </x:c>
      <x:c r="K46" s="28" t="n">
        <x:f>Source!J32</x:f>
        <x:v>12.62</x:v>
      </x:c>
      <x:c r="L46" s="28" t="n">
        <x:f>Source!K32</x:f>
        <x:v>63.6</x:v>
      </x:c>
      <x:c r="M46" s="28" t="n">
        <x:f>Source!L32</x:f>
        <x:v>0.7</x:v>
      </x:c>
      <x:c r="N46" s="28" t="n">
        <x:f>Source!M32</x:f>
        <x:v>18.4</x:v>
      </x:c>
      <x:c r="O46" s="28" t="n">
        <x:f>Source!N32</x:f>
        <x:v>17.3</x:v>
      </x:c>
      <x:c r="P46" s="29" t="n">
        <x:f>SUM(P41:P45)</x:f>
        <x:v>46.762269026337535</x:v>
      </x:c>
      <x:c r="Q46" s="29" t="n">
        <x:f>SUM(Q41:Q45)</x:f>
        <x:v>7.54309898291649</x:v>
      </x:c>
      <x:c r="R46" s="29" t="n">
        <x:f>SUM(R41:R45)</x:f>
        <x:v>22.623744393787504</x:v>
      </x:c>
      <x:c r="S46" s="29" t="n">
        <x:f>SUM(S41:S45)</x:f>
        <x:v>21.214758864148358</x:v>
      </x:c>
      <x:c r="T46" s="29" t="n">
        <x:f>SUM(T41:T45)</x:f>
        <x:v>103.11637120053315</x:v>
      </x:c>
      <x:c r="U46" s="29" t="n">
        <x:f>SUM(U41:U45)</x:f>
        <x:v>13.032986009781666</x:v>
      </x:c>
      <x:c r="V46" s="29" t="n">
        <x:f>SUM(V41:V45)</x:f>
        <x:v>26.75358737514381</x:v>
      </x:c>
      <x:c r="W46" s="29" t="n">
        <x:f>SUM(W41:W45)</x:f>
        <x:v>25.205909345020423</x:v>
      </x:c>
      <x:c r="X46" s="29" t="n">
        <x:f>SUM(X41:X45)</x:f>
        <x:v>116.61504877427949</x:v>
      </x:c>
      <x:c r="Y46" s="29" t="n">
        <x:f>SUM(Y41:Y45)</x:f>
        <x:v>16.280094960986816</x:v>
      </x:c>
      <x:c r="Z46" s="29" t="n">
        <x:f>SUM(Z41:Z45)</x:f>
        <x:v>31.087781055296148</x:v>
      </x:c>
      <x:c r="AA46" s="29" t="n">
        <x:f>SUM(AA41:AA45)</x:f>
        <x:v>29.40572540248108</x:v>
      </x:c>
    </x:row>
    <x:row r="47" ht="21" customHeight="1">
      <x:c r="A47" s="1"/>
      <x:c r="B47" s="1"/>
      <x:c r="C47" s="1" t="str">
        <x:v>Net PP&amp;E investing cash flow</x:v>
      </x:c>
      <x:c r="D47" s="8" t="n">
        <x:f>Source!C33</x:f>
        <x:v>-5</x:v>
      </x:c>
      <x:c r="E47" s="8" t="n">
        <x:f>Source!D33</x:f>
        <x:v>-30</x:v>
      </x:c>
      <x:c r="F47" s="8" t="n">
        <x:f>Source!E33</x:f>
        <x:v>-15</x:v>
      </x:c>
      <x:c r="G47" s="8" t="n">
        <x:f>Source!F33</x:f>
        <x:v>-30</x:v>
      </x:c>
      <x:c r="H47" s="8" t="n">
        <x:f>Source!G33</x:f>
        <x:v>27</x:v>
      </x:c>
      <x:c r="I47" s="8" t="n">
        <x:f>Source!H33</x:f>
        <x:v>-33</x:v>
      </x:c>
      <x:c r="J47" s="8" t="n">
        <x:f>Source!I33</x:f>
        <x:v>-16.5</x:v>
      </x:c>
      <x:c r="K47" s="8" t="n">
        <x:f>Source!J33</x:f>
        <x:v>-27.5</x:v>
      </x:c>
      <x:c r="L47" s="8" t="n">
        <x:f>Source!K33</x:f>
        <x:v>46</x:v>
      </x:c>
      <x:c r="M47" s="8" t="n">
        <x:f>Source!L33</x:f>
        <x:v>-42</x:v>
      </x:c>
      <x:c r="N47" s="8" t="n">
        <x:f>Source!M33</x:f>
        <x:v>-24</x:v>
      </x:c>
      <x:c r="O47" s="8" t="n">
        <x:f>Source!N33</x:f>
        <x:v>-30</x:v>
      </x:c>
      <x:c r="P47" s="20" t="n">
        <x:f>-P59</x:f>
        <x:v>-24.73166666666667</x:v>
      </x:c>
      <x:c r="Q47" s="20" t="n">
        <x:f>-Q59</x:f>
        <x:v>-23.686666666666667</x:v>
      </x:c>
      <x:c r="R47" s="20" t="n">
        <x:f>-R59</x:f>
        <x:v>-27.17</x:v>
      </x:c>
      <x:c r="S47" s="20" t="n">
        <x:f>-S59</x:f>
        <x:v>-28.91166666666667</x:v>
      </x:c>
      <x:c r="T47" s="20" t="n">
        <x:f>-T59</x:f>
        <x:v>-26.95751666666667</x:v>
      </x:c>
      <x:c r="U47" s="20" t="n">
        <x:f>-U59</x:f>
        <x:v>-25.818466666666673</x:v>
      </x:c>
      <x:c r="V47" s="20" t="n">
        <x:f>-V59</x:f>
        <x:v>-29.61530000000001</x:v>
      </x:c>
      <x:c r="W47" s="20" t="n">
        <x:f>-W59</x:f>
        <x:v>-31.51371666666667</x:v>
      </x:c>
      <x:c r="X47" s="20" t="n">
        <x:f>-X59</x:f>
        <x:v>-29.114118000000005</x:v>
      </x:c>
      <x:c r="Y47" s="20" t="n">
        <x:f>-Y59</x:f>
        <x:v>-27.883944000000003</x:v>
      </x:c>
      <x:c r="Z47" s="20" t="n">
        <x:f>-Z59</x:f>
        <x:v>-31.984524000000008</x:v>
      </x:c>
      <x:c r="AA47" s="20" t="n">
        <x:f>-AA59</x:f>
        <x:v>-34.034814000000004</x:v>
      </x:c>
    </x:row>
    <x:row r="48" ht="21" customHeight="1">
      <x:c r="A48" s="1"/>
      <x:c r="B48" s="1"/>
      <x:c r="C48" s="27" t="str">
        <x:v>Cash from investing</x:v>
      </x:c>
      <x:c r="D48" s="28" t="n">
        <x:f>Source!C34</x:f>
        <x:v>-5</x:v>
      </x:c>
      <x:c r="E48" s="28" t="n">
        <x:f>Source!D34</x:f>
        <x:v>-30</x:v>
      </x:c>
      <x:c r="F48" s="28" t="n">
        <x:f>Source!E34</x:f>
        <x:v>-15</x:v>
      </x:c>
      <x:c r="G48" s="28" t="n">
        <x:f>Source!F34</x:f>
        <x:v>-30</x:v>
      </x:c>
      <x:c r="H48" s="28" t="n">
        <x:f>Source!G34</x:f>
        <x:v>27</x:v>
      </x:c>
      <x:c r="I48" s="28" t="n">
        <x:f>Source!H34</x:f>
        <x:v>-33</x:v>
      </x:c>
      <x:c r="J48" s="28" t="n">
        <x:f>Source!I34</x:f>
        <x:v>-16.5</x:v>
      </x:c>
      <x:c r="K48" s="28" t="n">
        <x:f>Source!J34</x:f>
        <x:v>-27.5</x:v>
      </x:c>
      <x:c r="L48" s="28" t="n">
        <x:f>Source!K34</x:f>
        <x:v>46</x:v>
      </x:c>
      <x:c r="M48" s="28" t="n">
        <x:f>Source!L34</x:f>
        <x:v>-42</x:v>
      </x:c>
      <x:c r="N48" s="28" t="n">
        <x:f>Source!M34</x:f>
        <x:v>-24</x:v>
      </x:c>
      <x:c r="O48" s="28" t="n">
        <x:f>Source!N34</x:f>
        <x:v>-30</x:v>
      </x:c>
      <x:c r="P48" s="29" t="n">
        <x:f>P47</x:f>
        <x:v>-24.73166666666667</x:v>
      </x:c>
      <x:c r="Q48" s="29" t="n">
        <x:f>Q47</x:f>
        <x:v>-23.686666666666667</x:v>
      </x:c>
      <x:c r="R48" s="29" t="n">
        <x:f>R47</x:f>
        <x:v>-27.17</x:v>
      </x:c>
      <x:c r="S48" s="29" t="n">
        <x:f>S47</x:f>
        <x:v>-28.91166666666667</x:v>
      </x:c>
      <x:c r="T48" s="29" t="n">
        <x:f>T47</x:f>
        <x:v>-26.95751666666667</x:v>
      </x:c>
      <x:c r="U48" s="29" t="n">
        <x:f>U47</x:f>
        <x:v>-25.818466666666673</x:v>
      </x:c>
      <x:c r="V48" s="29" t="n">
        <x:f>V47</x:f>
        <x:v>-29.61530000000001</x:v>
      </x:c>
      <x:c r="W48" s="29" t="n">
        <x:f>W47</x:f>
        <x:v>-31.51371666666667</x:v>
      </x:c>
      <x:c r="X48" s="29" t="n">
        <x:f>X47</x:f>
        <x:v>-29.114118000000005</x:v>
      </x:c>
      <x:c r="Y48" s="29" t="n">
        <x:f>Y47</x:f>
        <x:v>-27.883944000000003</x:v>
      </x:c>
      <x:c r="Z48" s="29" t="n">
        <x:f>Z47</x:f>
        <x:v>-31.984524000000008</x:v>
      </x:c>
      <x:c r="AA48" s="29" t="n">
        <x:f>AA47</x:f>
        <x:v>-34.034814000000004</x:v>
      </x:c>
    </x:row>
    <x:row r="49" ht="21" customHeight="1">
      <x:c r="A49" s="1"/>
      <x:c r="B49" s="1"/>
      <x:c r="C49" s="1" t="str">
        <x:v>Net cash borrowing / repayment</x:v>
      </x:c>
      <x:c r="D49" s="8" t="n">
        <x:f>Source!C35+Source!C36</x:f>
        <x:v>-2</x:v>
      </x:c>
      <x:c r="E49" s="8" t="n">
        <x:f>Source!D35+Source!D36</x:f>
        <x:v>-0.07499999999999996</x:v>
      </x:c>
      <x:c r="F49" s="8" t="n">
        <x:f>Source!E35+Source!E36</x:f>
        <x:v>-0.50625</x:v>
      </x:c>
      <x:c r="G49" s="8" t="n">
        <x:f>Source!F35+Source!F36</x:f>
        <x:v>-2.41875</x:v>
      </x:c>
      <x:c r="H49" s="8" t="n">
        <x:f>Source!G35+Source!G36</x:f>
        <x:v>-3.0999999999999996</x:v>
      </x:c>
      <x:c r="I49" s="8" t="n">
        <x:f>Source!H35+Source!H36</x:f>
        <x:v>-3.225</x:v>
      </x:c>
      <x:c r="J49" s="8" t="n">
        <x:f>Source!I35+Source!I36</x:f>
        <x:v>-3.01875</x:v>
      </x:c>
      <x:c r="K49" s="8" t="n">
        <x:f>Source!J35+Source!J36</x:f>
        <x:v>-10.65625</x:v>
      </x:c>
      <x:c r="L49" s="8" t="n">
        <x:f>Source!K35+Source!K36</x:f>
        <x:v>-3</x:v>
      </x:c>
      <x:c r="M49" s="8" t="n">
        <x:f>Source!L35+Source!L36</x:f>
        <x:v>-0.25</x:v>
      </x:c>
      <x:c r="N49" s="8" t="n">
        <x:f>Source!M35+Source!M36</x:f>
        <x:v>-0.8125</x:v>
      </x:c>
      <x:c r="O49" s="8" t="n">
        <x:f>Source!N35+Source!N36</x:f>
        <x:v>-5.9375</x:v>
      </x:c>
      <x:c r="P49" s="20" t="n">
        <x:f>P65-P64</x:f>
        <x:v>-12.5</x:v>
      </x:c>
      <x:c r="Q49" s="20" t="n">
        <x:f>Q65-Q64</x:f>
        <x:v>-12.5</x:v>
      </x:c>
      <x:c r="R49" s="20" t="n">
        <x:f>R65-R64</x:f>
        <x:v>-12.5</x:v>
      </x:c>
      <x:c r="S49" s="20" t="n">
        <x:f>S65-S64</x:f>
        <x:v>-12.5</x:v>
      </x:c>
      <x:c r="T49" s="20" t="n">
        <x:f>T65-T64</x:f>
        <x:v>-12.5</x:v>
      </x:c>
      <x:c r="U49" s="20" t="n">
        <x:f>U65-U64</x:f>
        <x:v>-12.5</x:v>
      </x:c>
      <x:c r="V49" s="20" t="n">
        <x:f>V65-V64</x:f>
        <x:v>-12.5</x:v>
      </x:c>
      <x:c r="W49" s="20" t="n">
        <x:f>W65-W64</x:f>
        <x:v>-12.5</x:v>
      </x:c>
      <x:c r="X49" s="20" t="n">
        <x:f>X65-X64</x:f>
        <x:v>-12.5</x:v>
      </x:c>
      <x:c r="Y49" s="20" t="n">
        <x:f>Y65-Y64</x:f>
        <x:v>-12.5</x:v>
      </x:c>
      <x:c r="Z49" s="20" t="n">
        <x:f>Z65-Z64</x:f>
        <x:v>-12.5</x:v>
      </x:c>
      <x:c r="AA49" s="20" t="n">
        <x:f>AA65-AA64</x:f>
        <x:v>-12.5</x:v>
      </x:c>
    </x:row>
    <x:row r="50" ht="21" customHeight="1">
      <x:c r="A50" s="1"/>
      <x:c r="B50" s="1"/>
      <x:c r="C50" s="1" t="str">
        <x:v>Net cash equity financing</x:v>
      </x:c>
      <x:c r="D50" s="8" t="n">
        <x:f>Source!C37</x:f>
        <x:v>0</x:v>
      </x:c>
      <x:c r="E50" s="8" t="n">
        <x:f>Source!D37</x:f>
        <x:v>26</x:v>
      </x:c>
      <x:c r="F50" s="8" t="n">
        <x:f>Source!E37</x:f>
        <x:v>5</x:v>
      </x:c>
      <x:c r="G50" s="8" t="n">
        <x:f>Source!F37</x:f>
        <x:v>27</x:v>
      </x:c>
      <x:c r="H50" s="8" t="n">
        <x:f>Source!G37</x:f>
        <x:v>-55</x:v>
      </x:c>
      <x:c r="I50" s="8" t="n">
        <x:f>Source!H37</x:f>
        <x:v>64</x:v>
      </x:c>
      <x:c r="J50" s="8" t="n">
        <x:f>Source!I37</x:f>
        <x:v>1</x:v>
      </x:c>
      <x:c r="K50" s="8" t="n">
        <x:f>Source!J37</x:f>
        <x:v>57</x:v>
      </x:c>
      <x:c r="L50" s="8" t="n">
        <x:f>Source!K37</x:f>
        <x:v>-103</x:v>
      </x:c>
      <x:c r="M50" s="8" t="n">
        <x:f>Source!L37</x:f>
        <x:v>78</x:v>
      </x:c>
      <x:c r="N50" s="8" t="n">
        <x:f>Source!M37</x:f>
        <x:v>9</x:v>
      </x:c>
      <x:c r="O50" s="8" t="n">
        <x:f>Source!N37</x:f>
        <x:v>56</x:v>
      </x:c>
      <x:c r="P50" s="8" t="n">
        <x:f>Assumptions!D14/4</x:f>
        <x:v>0</x:v>
      </x:c>
      <x:c r="Q50" s="8" t="n">
        <x:f>Assumptions!D14/4</x:f>
        <x:v>0</x:v>
      </x:c>
      <x:c r="R50" s="8" t="n">
        <x:f>Assumptions!D14/4</x:f>
        <x:v>0</x:v>
      </x:c>
      <x:c r="S50" s="8" t="n">
        <x:f>Assumptions!D14/4</x:f>
        <x:v>0</x:v>
      </x:c>
      <x:c r="T50" s="8" t="n">
        <x:f>Assumptions!E14/4</x:f>
        <x:v>0</x:v>
      </x:c>
      <x:c r="U50" s="8" t="n">
        <x:f>Assumptions!E14/4</x:f>
        <x:v>0</x:v>
      </x:c>
      <x:c r="V50" s="8" t="n">
        <x:f>Assumptions!E14/4</x:f>
        <x:v>0</x:v>
      </x:c>
      <x:c r="W50" s="8" t="n">
        <x:f>Assumptions!E14/4</x:f>
        <x:v>0</x:v>
      </x:c>
      <x:c r="X50" s="8" t="n">
        <x:f>Assumptions!F14/4</x:f>
        <x:v>0</x:v>
      </x:c>
      <x:c r="Y50" s="8" t="n">
        <x:f>Assumptions!F14/4</x:f>
        <x:v>0</x:v>
      </x:c>
      <x:c r="Z50" s="8" t="n">
        <x:f>Assumptions!F14/4</x:f>
        <x:v>0</x:v>
      </x:c>
      <x:c r="AA50" s="8" t="n">
        <x:f>Assumptions!F14/4</x:f>
        <x:v>0</x:v>
      </x:c>
    </x:row>
    <x:row r="51" ht="21" customHeight="1">
      <x:c r="A51" s="1"/>
      <x:c r="B51" s="1"/>
      <x:c r="C51" s="1" t="str">
        <x:v>Cash dividends paid</x:v>
      </x:c>
      <x:c r="D51" s="2" t="n">
        <x:v>0</x:v>
      </x:c>
      <x:c r="E51" s="2" t="n">
        <x:v>0</x:v>
      </x:c>
      <x:c r="F51" s="2" t="n">
        <x:v>0</x:v>
      </x:c>
      <x:c r="G51" s="2" t="n">
        <x:v>0</x:v>
      </x:c>
      <x:c r="H51" s="2" t="n">
        <x:v>0</x:v>
      </x:c>
      <x:c r="I51" s="2" t="n">
        <x:v>0</x:v>
      </x:c>
      <x:c r="J51" s="2" t="n">
        <x:v>0</x:v>
      </x:c>
      <x:c r="K51" s="2" t="n">
        <x:v>0</x:v>
      </x:c>
      <x:c r="L51" s="2" t="n">
        <x:v>0</x:v>
      </x:c>
      <x:c r="M51" s="2" t="n">
        <x:v>0</x:v>
      </x:c>
      <x:c r="N51" s="2" t="n">
        <x:v>0</x:v>
      </x:c>
      <x:c r="O51" s="2" t="n">
        <x:v>0</x:v>
      </x:c>
      <x:c r="P51" s="8" t="n">
        <x:f>-Assumptions!D15/4</x:f>
        <x:v>0</x:v>
      </x:c>
      <x:c r="Q51" s="8" t="n">
        <x:f>-Assumptions!D15/4</x:f>
        <x:v>0</x:v>
      </x:c>
      <x:c r="R51" s="8" t="n">
        <x:f>-Assumptions!D15/4</x:f>
        <x:v>0</x:v>
      </x:c>
      <x:c r="S51" s="8" t="n">
        <x:f>-Assumptions!D15/4</x:f>
        <x:v>0</x:v>
      </x:c>
      <x:c r="T51" s="8" t="n">
        <x:f>-Assumptions!E15/4</x:f>
        <x:v>0</x:v>
      </x:c>
      <x:c r="U51" s="8" t="n">
        <x:f>-Assumptions!E15/4</x:f>
        <x:v>0</x:v>
      </x:c>
      <x:c r="V51" s="8" t="n">
        <x:f>-Assumptions!E15/4</x:f>
        <x:v>0</x:v>
      </x:c>
      <x:c r="W51" s="8" t="n">
        <x:f>-Assumptions!E15/4</x:f>
        <x:v>0</x:v>
      </x:c>
      <x:c r="X51" s="8" t="n">
        <x:f>-Assumptions!F15/4</x:f>
        <x:v>0</x:v>
      </x:c>
      <x:c r="Y51" s="8" t="n">
        <x:f>-Assumptions!F15/4</x:f>
        <x:v>0</x:v>
      </x:c>
      <x:c r="Z51" s="8" t="n">
        <x:f>-Assumptions!F15/4</x:f>
        <x:v>0</x:v>
      </x:c>
      <x:c r="AA51" s="8" t="n">
        <x:f>-Assumptions!F15/4</x:f>
        <x:v>0</x:v>
      </x:c>
    </x:row>
    <x:row r="52" ht="21" customHeight="1">
      <x:c r="A52" s="1"/>
      <x:c r="B52" s="1"/>
      <x:c r="C52" s="27" t="str">
        <x:v>Cash from financing</x:v>
      </x:c>
      <x:c r="D52" s="28" t="n">
        <x:f>Source!C38</x:f>
        <x:v>-2</x:v>
      </x:c>
      <x:c r="E52" s="28" t="n">
        <x:f>Source!D38</x:f>
        <x:v>25.925</x:v>
      </x:c>
      <x:c r="F52" s="28" t="n">
        <x:f>Source!E38</x:f>
        <x:v>4.49375</x:v>
      </x:c>
      <x:c r="G52" s="28" t="n">
        <x:f>Source!F38</x:f>
        <x:v>24.58125</x:v>
      </x:c>
      <x:c r="H52" s="28" t="n">
        <x:f>Source!G38</x:f>
        <x:v>-58.1</x:v>
      </x:c>
      <x:c r="I52" s="28" t="n">
        <x:f>Source!H38</x:f>
        <x:v>60.775</x:v>
      </x:c>
      <x:c r="J52" s="28" t="n">
        <x:f>Source!I38</x:f>
        <x:v>-2.01875</x:v>
      </x:c>
      <x:c r="K52" s="28" t="n">
        <x:f>Source!J38</x:f>
        <x:v>46.34375</x:v>
      </x:c>
      <x:c r="L52" s="28" t="n">
        <x:f>Source!K38</x:f>
        <x:v>-106</x:v>
      </x:c>
      <x:c r="M52" s="28" t="n">
        <x:f>Source!L38</x:f>
        <x:v>77.75</x:v>
      </x:c>
      <x:c r="N52" s="28" t="n">
        <x:f>Source!M38</x:f>
        <x:v>8.1875</x:v>
      </x:c>
      <x:c r="O52" s="28" t="n">
        <x:f>Source!N38</x:f>
        <x:v>50.0625</x:v>
      </x:c>
      <x:c r="P52" s="29" t="n">
        <x:f>SUM(P49:P51)</x:f>
        <x:v>-12.5</x:v>
      </x:c>
      <x:c r="Q52" s="29" t="n">
        <x:f>SUM(Q49:Q51)</x:f>
        <x:v>-12.5</x:v>
      </x:c>
      <x:c r="R52" s="29" t="n">
        <x:f>SUM(R49:R51)</x:f>
        <x:v>-12.5</x:v>
      </x:c>
      <x:c r="S52" s="29" t="n">
        <x:f>SUM(S49:S51)</x:f>
        <x:v>-12.5</x:v>
      </x:c>
      <x:c r="T52" s="29" t="n">
        <x:f>SUM(T49:T51)</x:f>
        <x:v>-12.5</x:v>
      </x:c>
      <x:c r="U52" s="29" t="n">
        <x:f>SUM(U49:U51)</x:f>
        <x:v>-12.5</x:v>
      </x:c>
      <x:c r="V52" s="29" t="n">
        <x:f>SUM(V49:V51)</x:f>
        <x:v>-12.5</x:v>
      </x:c>
      <x:c r="W52" s="29" t="n">
        <x:f>SUM(W49:W51)</x:f>
        <x:v>-12.5</x:v>
      </x:c>
      <x:c r="X52" s="29" t="n">
        <x:f>SUM(X49:X51)</x:f>
        <x:v>-12.5</x:v>
      </x:c>
      <x:c r="Y52" s="29" t="n">
        <x:f>SUM(Y49:Y51)</x:f>
        <x:v>-12.5</x:v>
      </x:c>
      <x:c r="Z52" s="29" t="n">
        <x:f>SUM(Z49:Z51)</x:f>
        <x:v>-12.5</x:v>
      </x:c>
      <x:c r="AA52" s="29" t="n">
        <x:f>SUM(AA49:AA51)</x:f>
        <x:v>-12.5</x:v>
      </x:c>
    </x:row>
    <x:row r="53" ht="21" customHeight="1">
      <x:c r="A53" s="1"/>
      <x:c r="B53" s="1"/>
      <x:c r="C53" s="27" t="str">
        <x:v>Change in cash</x:v>
      </x:c>
      <x:c r="D53" s="29" t="n">
        <x:f>SUM(D46,D48,D52)</x:f>
        <x:v>29.200000000000003</x:v>
      </x:c>
      <x:c r="E53" s="29" t="n">
        <x:f>SUM(E46,E48,E52)</x:f>
        <x:v>3.8249999999999993</x:v>
      </x:c>
      <x:c r="F53" s="29" t="n">
        <x:f>SUM(F46,F48,F52)</x:f>
        <x:v>1.3937500000000007</x:v>
      </x:c>
      <x:c r="G53" s="29" t="n">
        <x:f>SUM(G46,G48,G52)</x:f>
        <x:v>3.5812500000000007</x:v>
      </x:c>
      <x:c r="H53" s="29" t="n">
        <x:f>SUM(H46,H48,H52)</x:f>
        <x:v>8.219999999999992</x:v>
      </x:c>
      <x:c r="I53" s="29" t="n">
        <x:f>SUM(I46,I48,I52)</x:f>
        <x:v>29.095</x:v>
      </x:c>
      <x:c r="J53" s="29" t="n">
        <x:f>SUM(J46,J48,J52)</x:f>
        <x:v>2.2212499999999986</x:v>
      </x:c>
      <x:c r="K53" s="29" t="n">
        <x:f>SUM(K46,K48,K52)</x:f>
        <x:v>31.463749999999997</x:v>
      </x:c>
      <x:c r="L53" s="29" t="n">
        <x:f>SUM(L46,L48,L52)</x:f>
        <x:v>3.5999999999999943</x:v>
      </x:c>
      <x:c r="M53" s="29" t="n">
        <x:f>SUM(M46,M48,M52)</x:f>
        <x:v>36.45</x:v>
      </x:c>
      <x:c r="N53" s="29" t="n">
        <x:f>SUM(N46,N48,N52)</x:f>
        <x:v>2.5874999999999986</x:v>
      </x:c>
      <x:c r="O53" s="29" t="n">
        <x:f>SUM(O46,O48,O52)</x:f>
        <x:v>37.3625</x:v>
      </x:c>
      <x:c r="P53" s="29" t="n">
        <x:f>SUM(P46,P48,P52)</x:f>
        <x:v>9.530602359670866</x:v>
      </x:c>
      <x:c r="Q53" s="29" t="n">
        <x:f>SUM(Q46,Q48,Q52)</x:f>
        <x:v>-28.643567683750177</x:v>
      </x:c>
      <x:c r="R53" s="29" t="n">
        <x:f>SUM(R46,R48,R52)</x:f>
        <x:v>-17.046255606212497</x:v>
      </x:c>
      <x:c r="S53" s="29" t="n">
        <x:f>SUM(S46,S48,S52)</x:f>
        <x:v>-20.19690780251831</x:v>
      </x:c>
      <x:c r="T53" s="29" t="n">
        <x:f>SUM(T46,T48,T52)</x:f>
        <x:v>63.658854533866474</x:v>
      </x:c>
      <x:c r="U53" s="29" t="n">
        <x:f>SUM(U46,U48,U52)</x:f>
        <x:v>-25.285480656885007</x:v>
      </x:c>
      <x:c r="V53" s="29" t="n">
        <x:f>SUM(V46,V48,V52)</x:f>
        <x:v>-15.3617126248562</x:v>
      </x:c>
      <x:c r="W53" s="29" t="n">
        <x:f>SUM(W46,W48,W52)</x:f>
        <x:v>-18.807807321646248</x:v>
      </x:c>
      <x:c r="X53" s="29" t="n">
        <x:f>SUM(X46,X48,X52)</x:f>
        <x:v>75.00093077427948</x:v>
      </x:c>
      <x:c r="Y53" s="29" t="n">
        <x:f>SUM(Y46,Y48,Y52)</x:f>
        <x:v>-24.103849039013188</x:v>
      </x:c>
      <x:c r="Z53" s="29" t="n">
        <x:f>SUM(Z46,Z48,Z52)</x:f>
        <x:v>-13.39674294470386</x:v>
      </x:c>
      <x:c r="AA53" s="29" t="n">
        <x:f>SUM(AA46,AA48,AA52)</x:f>
        <x:v>-17.129088597518923</x:v>
      </x:c>
    </x:row>
    <x:row r="54" ht="21" customHeight="1">
      <x:c r="A54" s="1"/>
      <x:c r="B54" s="1"/>
      <x:c r="C54" s="1" t="str">
        <x:v>Opening cash</x:v>
      </x:c>
      <x:c r="D54" s="8" t="n">
        <x:f>Assumptions!$D$30</x:f>
        <x:v>21.8</x:v>
      </x:c>
      <x:c r="E54" s="8" t="n">
        <x:f>Source!D40</x:f>
        <x:v>51</x:v>
      </x:c>
      <x:c r="F54" s="8" t="n">
        <x:f>Source!E40</x:f>
        <x:v>54.825</x:v>
      </x:c>
      <x:c r="G54" s="8" t="n">
        <x:f>Source!F40</x:f>
        <x:v>56.21875</x:v>
      </x:c>
      <x:c r="H54" s="8" t="n">
        <x:f>Source!G40</x:f>
        <x:v>59.8</x:v>
      </x:c>
      <x:c r="I54" s="8" t="n">
        <x:f>Source!H40</x:f>
        <x:v>68.02</x:v>
      </x:c>
      <x:c r="J54" s="8" t="n">
        <x:f>Source!I40</x:f>
        <x:v>97.115</x:v>
      </x:c>
      <x:c r="K54" s="8" t="n">
        <x:f>Source!J40</x:f>
        <x:v>99.33625</x:v>
      </x:c>
      <x:c r="L54" s="8" t="n">
        <x:f>Source!K40</x:f>
        <x:v>130.8</x:v>
      </x:c>
      <x:c r="M54" s="8" t="n">
        <x:f>Source!L40</x:f>
        <x:v>134.4</x:v>
      </x:c>
      <x:c r="N54" s="8" t="n">
        <x:f>Source!M40</x:f>
        <x:v>170.85</x:v>
      </x:c>
      <x:c r="O54" s="8" t="n">
        <x:f>Source!N40</x:f>
        <x:v>173.4375</x:v>
      </x:c>
      <x:c r="P54" s="20" t="n">
        <x:f>O55</x:f>
        <x:v>210.8</x:v>
      </x:c>
      <x:c r="Q54" s="20" t="n">
        <x:f>P55</x:f>
        <x:v>220.33060235967088</x:v>
      </x:c>
      <x:c r="R54" s="20" t="n">
        <x:f>Q55</x:f>
        <x:v>191.6870346759207</x:v>
      </x:c>
      <x:c r="S54" s="20" t="n">
        <x:f>R55</x:f>
        <x:v>174.6407790697082</x:v>
      </x:c>
      <x:c r="T54" s="20" t="n">
        <x:f>S55</x:f>
        <x:v>154.44387126718988</x:v>
      </x:c>
      <x:c r="U54" s="20" t="n">
        <x:f>T55</x:f>
        <x:v>218.10272580105635</x:v>
      </x:c>
      <x:c r="V54" s="20" t="n">
        <x:f>U55</x:f>
        <x:v>192.81724514417135</x:v>
      </x:c>
      <x:c r="W54" s="20" t="n">
        <x:f>V55</x:f>
        <x:v>177.45553251931514</x:v>
      </x:c>
      <x:c r="X54" s="20" t="n">
        <x:f>W55</x:f>
        <x:v>158.6477251976689</x:v>
      </x:c>
      <x:c r="Y54" s="20" t="n">
        <x:f>X55</x:f>
        <x:v>233.6486559719484</x:v>
      </x:c>
      <x:c r="Z54" s="20" t="n">
        <x:f>Y55</x:f>
        <x:v>209.5448069329352</x:v>
      </x:c>
      <x:c r="AA54" s="20" t="n">
        <x:f>Z55</x:f>
        <x:v>196.14806398823134</x:v>
      </x:c>
    </x:row>
    <x:row r="55" ht="21" customHeight="1">
      <x:c r="A55" s="1"/>
      <x:c r="B55" s="1"/>
      <x:c r="C55" s="27" t="str">
        <x:v>Closing cash</x:v>
      </x:c>
      <x:c r="D55" s="28" t="n">
        <x:f>Source!C41</x:f>
        <x:v>51</x:v>
      </x:c>
      <x:c r="E55" s="28" t="n">
        <x:f>Source!D41</x:f>
        <x:v>54.825</x:v>
      </x:c>
      <x:c r="F55" s="28" t="n">
        <x:f>Source!E41</x:f>
        <x:v>56.21875</x:v>
      </x:c>
      <x:c r="G55" s="28" t="n">
        <x:f>Source!F41</x:f>
        <x:v>59.8</x:v>
      </x:c>
      <x:c r="H55" s="28" t="n">
        <x:f>Source!G41</x:f>
        <x:v>68.02</x:v>
      </x:c>
      <x:c r="I55" s="28" t="n">
        <x:f>Source!H41</x:f>
        <x:v>97.115</x:v>
      </x:c>
      <x:c r="J55" s="28" t="n">
        <x:f>Source!I41</x:f>
        <x:v>99.33625</x:v>
      </x:c>
      <x:c r="K55" s="28" t="n">
        <x:f>Source!J41</x:f>
        <x:v>130.8</x:v>
      </x:c>
      <x:c r="L55" s="28" t="n">
        <x:f>Source!K41</x:f>
        <x:v>134.4</x:v>
      </x:c>
      <x:c r="M55" s="28" t="n">
        <x:f>Source!L41</x:f>
        <x:v>170.85</x:v>
      </x:c>
      <x:c r="N55" s="28" t="n">
        <x:f>Source!M41</x:f>
        <x:v>173.4375</x:v>
      </x:c>
      <x:c r="O55" s="28" t="n">
        <x:f>Source!N41</x:f>
        <x:v>210.8</x:v>
      </x:c>
      <x:c r="P55" s="29" t="n">
        <x:f>P54+P53</x:f>
        <x:v>220.33060235967088</x:v>
      </x:c>
      <x:c r="Q55" s="29" t="n">
        <x:f>Q54+Q53</x:f>
        <x:v>191.6870346759207</x:v>
      </x:c>
      <x:c r="R55" s="29" t="n">
        <x:f>R54+R53</x:f>
        <x:v>174.6407790697082</x:v>
      </x:c>
      <x:c r="S55" s="29" t="n">
        <x:f>S54+S53</x:f>
        <x:v>154.44387126718988</x:v>
      </x:c>
      <x:c r="T55" s="29" t="n">
        <x:f>T54+T53</x:f>
        <x:v>218.10272580105635</x:v>
      </x:c>
      <x:c r="U55" s="29" t="n">
        <x:f>U54+U53</x:f>
        <x:v>192.81724514417135</x:v>
      </x:c>
      <x:c r="V55" s="29" t="n">
        <x:f>V54+V53</x:f>
        <x:v>177.45553251931514</x:v>
      </x:c>
      <x:c r="W55" s="29" t="n">
        <x:f>W54+W53</x:f>
        <x:v>158.6477251976689</x:v>
      </x:c>
      <x:c r="X55" s="29" t="n">
        <x:f>X54+X53</x:f>
        <x:v>233.6486559719484</x:v>
      </x:c>
      <x:c r="Y55" s="29" t="n">
        <x:f>Y54+Y53</x:f>
        <x:v>209.5448069329352</x:v>
      </x:c>
      <x:c r="Z55" s="29" t="n">
        <x:f>Z54+Z53</x:f>
        <x:v>196.14806398823134</x:v>
      </x:c>
      <x:c r="AA55" s="29" t="n">
        <x:f>AA54+AA53</x:f>
        <x:v>179.01897539071243</x:v>
      </x:c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A57" s="1"/>
      <x:c r="B57" s="1"/>
      <x:c r="C57" s="15" t="str">
        <x:v>Asset and debt schedules</x:v>
      </x:c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  <x:c r="AA57" s="16"/>
    </x:row>
    <x:row r="58" ht="21" customHeight="1">
      <x:c r="A58" s="1"/>
      <x:c r="B58" s="1"/>
      <x:c r="C58" s="1" t="str">
        <x:v>Opening net PP&amp;E</x:v>
      </x:c>
      <x:c r="D58" s="8" t="n">
        <x:f>Assumptions!$D$32</x:f>
        <x:v>420</x:v>
      </x:c>
      <x:c r="E58" s="20" t="n">
        <x:f>D27</x:f>
        <x:v>425</x:v>
      </x:c>
      <x:c r="F58" s="20" t="n">
        <x:f>E27</x:f>
        <x:v>455</x:v>
      </x:c>
      <x:c r="G58" s="20" t="n">
        <x:f>F27</x:f>
        <x:v>470</x:v>
      </x:c>
      <x:c r="H58" s="20" t="n">
        <x:f>G27</x:f>
        <x:v>500</x:v>
      </x:c>
      <x:c r="I58" s="20" t="n">
        <x:f>H27</x:f>
        <x:v>473</x:v>
      </x:c>
      <x:c r="J58" s="20" t="n">
        <x:f>I27</x:f>
        <x:v>506</x:v>
      </x:c>
      <x:c r="K58" s="20" t="n">
        <x:f>J27</x:f>
        <x:v>522.5</x:v>
      </x:c>
      <x:c r="L58" s="20" t="n">
        <x:f>K27</x:f>
        <x:v>550</x:v>
      </x:c>
      <x:c r="M58" s="20" t="n">
        <x:f>L27</x:f>
        <x:v>504</x:v>
      </x:c>
      <x:c r="N58" s="20" t="n">
        <x:f>M27</x:f>
        <x:v>546</x:v>
      </x:c>
      <x:c r="O58" s="20" t="n">
        <x:f>N27</x:f>
        <x:v>570</x:v>
      </x:c>
      <x:c r="P58" s="8" t="n">
        <x:f>'Base Case'!P58</x:f>
        <x:v>600</x:v>
      </x:c>
      <x:c r="Q58" s="8" t="n">
        <x:f>'Base Case'!Q58</x:f>
        <x:v>609.4225208333334</x:v>
      </x:c>
      <x:c r="R58" s="8" t="n">
        <x:f>'Base Case'!R58</x:f>
        <x:v>617.1948125</x:v>
      </x:c>
      <x:c r="S58" s="8" t="n">
        <x:f>'Base Case'!S58</x:f>
        <x:v>627.8147291666667</x:v>
      </x:c>
      <x:c r="T58" s="8" t="n">
        <x:f>'Base Case'!T58</x:f>
        <x:v>639.4752916666666</x:v>
      </x:c>
      <x:c r="U58" s="8" t="n">
        <x:f>'Base Case'!U58</x:f>
        <x:v>648.483339375</x:v>
      </x:c>
      <x:c r="V58" s="8" t="n">
        <x:f>'Base Case'!V58</x:f>
        <x:v>655.6926372916668</x:v>
      </x:c>
      <x:c r="W58" s="8" t="n">
        <x:f>'Base Case'!W58</x:f>
        <x:v>666.0058464583335</x:v>
      </x:c>
      <x:c r="X58" s="8" t="n">
        <x:f>'Base Case'!X58</x:f>
        <x:v>677.4533595833335</x:v>
      </x:c>
      <x:c r="Y58" s="8" t="n">
        <x:f>'Base Case'!Y58</x:f>
        <x:v>685.7434261083334</x:v>
      </x:c>
      <x:c r="Z58" s="8" t="n">
        <x:f>'Base Case'!Z58</x:f>
        <x:v>692.0908428583335</x:v>
      </x:c>
      <x:c r="AA58" s="8" t="n">
        <x:f>'Base Case'!AA58</x:f>
        <x:v>701.7904837583335</x:v>
      </x:c>
    </x:row>
    <x:row r="59" ht="21" customHeight="1">
      <x:c r="A59" s="1"/>
      <x:c r="B59" s="1"/>
      <x:c r="C59" s="1" t="str">
        <x:v>Capital expenditure</x:v>
      </x:c>
      <x:c r="D59" s="2" t="str">
        <x:v>n.a.</x:v>
      </x:c>
      <x:c r="E59" s="2" t="str">
        <x:v>n.a.</x:v>
      </x:c>
      <x:c r="F59" s="2" t="str">
        <x:v>n.a.</x:v>
      </x:c>
      <x:c r="G59" s="2" t="str">
        <x:v>n.a.</x:v>
      </x:c>
      <x:c r="H59" s="2" t="str">
        <x:v>n.a.</x:v>
      </x:c>
      <x:c r="I59" s="2" t="str">
        <x:v>n.a.</x:v>
      </x:c>
      <x:c r="J59" s="2" t="str">
        <x:v>n.a.</x:v>
      </x:c>
      <x:c r="K59" s="2" t="str">
        <x:v>n.a.</x:v>
      </x:c>
      <x:c r="L59" s="2" t="str">
        <x:v>n.a.</x:v>
      </x:c>
      <x:c r="M59" s="2" t="str">
        <x:v>n.a.</x:v>
      </x:c>
      <x:c r="N59" s="2" t="str">
        <x:v>n.a.</x:v>
      </x:c>
      <x:c r="O59" s="2" t="str">
        <x:v>n.a.</x:v>
      </x:c>
      <x:c r="P59" s="8" t="n">
        <x:f>'Base Case'!P59</x:f>
        <x:v>24.73166666666667</x:v>
      </x:c>
      <x:c r="Q59" s="8" t="n">
        <x:f>'Base Case'!Q59</x:f>
        <x:v>23.686666666666667</x:v>
      </x:c>
      <x:c r="R59" s="8" t="n">
        <x:f>'Base Case'!R59</x:f>
        <x:v>27.17</x:v>
      </x:c>
      <x:c r="S59" s="8" t="n">
        <x:f>'Base Case'!S59</x:f>
        <x:v>28.91166666666667</x:v>
      </x:c>
      <x:c r="T59" s="8" t="n">
        <x:f>'Base Case'!T59</x:f>
        <x:v>26.95751666666667</x:v>
      </x:c>
      <x:c r="U59" s="8" t="n">
        <x:f>'Base Case'!U59</x:f>
        <x:v>25.818466666666673</x:v>
      </x:c>
      <x:c r="V59" s="8" t="n">
        <x:f>'Base Case'!V59</x:f>
        <x:v>29.61530000000001</x:v>
      </x:c>
      <x:c r="W59" s="8" t="n">
        <x:f>'Base Case'!W59</x:f>
        <x:v>31.51371666666667</x:v>
      </x:c>
      <x:c r="X59" s="8" t="n">
        <x:f>'Base Case'!X59</x:f>
        <x:v>29.114118000000005</x:v>
      </x:c>
      <x:c r="Y59" s="8" t="n">
        <x:f>'Base Case'!Y59</x:f>
        <x:v>27.883944000000003</x:v>
      </x:c>
      <x:c r="Z59" s="8" t="n">
        <x:f>'Base Case'!Z59</x:f>
        <x:v>31.984524000000008</x:v>
      </x:c>
      <x:c r="AA59" s="8" t="n">
        <x:f>'Base Case'!AA59</x:f>
        <x:v>34.034814000000004</x:v>
      </x:c>
    </x:row>
    <x:row r="60" ht="21" customHeight="1">
      <x:c r="A60" s="1"/>
      <x:c r="B60" s="1"/>
      <x:c r="C60" s="1" t="str">
        <x:v>Depreciation of opening 2024 PP&amp;E</x:v>
      </x:c>
      <x:c r="D60" s="2" t="str">
        <x:v>n.a.</x:v>
      </x:c>
      <x:c r="E60" s="2" t="str">
        <x:v>n.a.</x:v>
      </x:c>
      <x:c r="F60" s="2" t="str">
        <x:v>n.a.</x:v>
      </x:c>
      <x:c r="G60" s="2" t="str">
        <x:v>n.a.</x:v>
      </x:c>
      <x:c r="H60" s="2" t="str">
        <x:v>n.a.</x:v>
      </x:c>
      <x:c r="I60" s="2" t="str">
        <x:v>n.a.</x:v>
      </x:c>
      <x:c r="J60" s="2" t="str">
        <x:v>n.a.</x:v>
      </x:c>
      <x:c r="K60" s="2" t="str">
        <x:v>n.a.</x:v>
      </x:c>
      <x:c r="L60" s="2" t="str">
        <x:v>n.a.</x:v>
      </x:c>
      <x:c r="M60" s="2" t="str">
        <x:v>n.a.</x:v>
      </x:c>
      <x:c r="N60" s="2" t="str">
        <x:v>n.a.</x:v>
      </x:c>
      <x:c r="O60" s="2" t="str">
        <x:v>n.a.</x:v>
      </x:c>
      <x:c r="P60" s="8" t="n">
        <x:f>'Base Case'!P60</x:f>
        <x:v>15</x:v>
      </x:c>
      <x:c r="Q60" s="8" t="n">
        <x:f>'Base Case'!Q60</x:f>
        <x:v>15</x:v>
      </x:c>
      <x:c r="R60" s="8" t="n">
        <x:f>'Base Case'!R60</x:f>
        <x:v>15</x:v>
      </x:c>
      <x:c r="S60" s="8" t="n">
        <x:f>'Base Case'!S60</x:f>
        <x:v>15</x:v>
      </x:c>
      <x:c r="T60" s="8" t="n">
        <x:f>'Base Case'!T60</x:f>
        <x:v>15</x:v>
      </x:c>
      <x:c r="U60" s="8" t="n">
        <x:f>'Base Case'!U60</x:f>
        <x:v>15</x:v>
      </x:c>
      <x:c r="V60" s="8" t="n">
        <x:f>'Base Case'!V60</x:f>
        <x:v>15</x:v>
      </x:c>
      <x:c r="W60" s="8" t="n">
        <x:f>'Base Case'!W60</x:f>
        <x:v>15</x:v>
      </x:c>
      <x:c r="X60" s="8" t="n">
        <x:f>'Base Case'!X60</x:f>
        <x:v>15</x:v>
      </x:c>
      <x:c r="Y60" s="8" t="n">
        <x:f>'Base Case'!Y60</x:f>
        <x:v>15</x:v>
      </x:c>
      <x:c r="Z60" s="8" t="n">
        <x:f>'Base Case'!Z60</x:f>
        <x:v>15</x:v>
      </x:c>
      <x:c r="AA60" s="8" t="n">
        <x:f>'Base Case'!AA60</x:f>
        <x:v>15</x:v>
      </x:c>
    </x:row>
    <x:row r="61" ht="21" customHeight="1">
      <x:c r="A61" s="1"/>
      <x:c r="B61" s="1"/>
      <x:c r="C61" s="1" t="str">
        <x:v>Depreciation of forecast capex</x:v>
      </x:c>
      <x:c r="D61" s="2" t="str">
        <x:v>n.a.</x:v>
      </x:c>
      <x:c r="E61" s="2" t="str">
        <x:v>n.a.</x:v>
      </x:c>
      <x:c r="F61" s="2" t="str">
        <x:v>n.a.</x:v>
      </x:c>
      <x:c r="G61" s="2" t="str">
        <x:v>n.a.</x:v>
      </x:c>
      <x:c r="H61" s="2" t="str">
        <x:v>n.a.</x:v>
      </x:c>
      <x:c r="I61" s="2" t="str">
        <x:v>n.a.</x:v>
      </x:c>
      <x:c r="J61" s="2" t="str">
        <x:v>n.a.</x:v>
      </x:c>
      <x:c r="K61" s="2" t="str">
        <x:v>n.a.</x:v>
      </x:c>
      <x:c r="L61" s="2" t="str">
        <x:v>n.a.</x:v>
      </x:c>
      <x:c r="M61" s="2" t="str">
        <x:v>n.a.</x:v>
      </x:c>
      <x:c r="N61" s="2" t="str">
        <x:v>n.a.</x:v>
      </x:c>
      <x:c r="O61" s="2" t="str">
        <x:v>n.a.</x:v>
      </x:c>
      <x:c r="P61" s="8" t="n">
        <x:f>'Base Case'!P61</x:f>
        <x:v>0.30914583333333334</x:v>
      </x:c>
      <x:c r="Q61" s="8" t="n">
        <x:f>'Base Case'!Q61</x:f>
        <x:v>0.914375</x:v>
      </x:c>
      <x:c r="R61" s="8" t="n">
        <x:f>'Base Case'!R61</x:f>
        <x:v>1.5500833333333335</x:v>
      </x:c>
      <x:c r="S61" s="8" t="n">
        <x:f>'Base Case'!S61</x:f>
        <x:v>2.251104166666667</x:v>
      </x:c>
      <x:c r="T61" s="8" t="n">
        <x:f>'Base Case'!T61</x:f>
        <x:v>2.949468958333333</x:v>
      </x:c>
      <x:c r="U61" s="8" t="n">
        <x:f>'Base Case'!U61</x:f>
        <x:v>3.60916875</x:v>
      </x:c>
      <x:c r="V61" s="8" t="n">
        <x:f>'Base Case'!V61</x:f>
        <x:v>4.302090833333334</x:v>
      </x:c>
      <x:c r="W61" s="8" t="n">
        <x:f>'Base Case'!W61</x:f>
        <x:v>5.066203541666668</x:v>
      </x:c>
      <x:c r="X61" s="8" t="n">
        <x:f>'Base Case'!X61</x:f>
        <x:v>5.824051475000001</x:v>
      </x:c>
      <x:c r="Y61" s="8" t="n">
        <x:f>'Base Case'!Y61</x:f>
        <x:v>6.536527250000002</x:v>
      </x:c>
      <x:c r="Z61" s="8" t="n">
        <x:f>'Base Case'!Z61</x:f>
        <x:v>7.284883100000001</x:v>
      </x:c>
      <x:c r="AA61" s="8" t="n">
        <x:f>'Base Case'!AA61</x:f>
        <x:v>8.110124825000002</x:v>
      </x:c>
    </x:row>
    <x:row r="62" ht="21" customHeight="1">
      <x:c r="A62" s="1"/>
      <x:c r="B62" s="1"/>
      <x:c r="C62" s="27" t="str">
        <x:v>Total depreciation</x:v>
      </x:c>
      <x:c r="D62" s="31" t="str">
        <x:v>n.a.</x:v>
      </x:c>
      <x:c r="E62" s="31" t="str">
        <x:v>n.a.</x:v>
      </x:c>
      <x:c r="F62" s="31" t="str">
        <x:v>n.a.</x:v>
      </x:c>
      <x:c r="G62" s="31" t="str">
        <x:v>n.a.</x:v>
      </x:c>
      <x:c r="H62" s="31" t="str">
        <x:v>n.a.</x:v>
      </x:c>
      <x:c r="I62" s="31" t="str">
        <x:v>n.a.</x:v>
      </x:c>
      <x:c r="J62" s="31" t="str">
        <x:v>n.a.</x:v>
      </x:c>
      <x:c r="K62" s="31" t="str">
        <x:v>n.a.</x:v>
      </x:c>
      <x:c r="L62" s="31" t="str">
        <x:v>n.a.</x:v>
      </x:c>
      <x:c r="M62" s="31" t="str">
        <x:v>n.a.</x:v>
      </x:c>
      <x:c r="N62" s="31" t="str">
        <x:v>n.a.</x:v>
      </x:c>
      <x:c r="O62" s="31" t="str">
        <x:v>n.a.</x:v>
      </x:c>
      <x:c r="P62" s="28" t="n">
        <x:f>'Base Case'!P62</x:f>
        <x:v>15.309145833333334</x:v>
      </x:c>
      <x:c r="Q62" s="28" t="n">
        <x:f>'Base Case'!Q62</x:f>
        <x:v>15.914375</x:v>
      </x:c>
      <x:c r="R62" s="28" t="n">
        <x:f>'Base Case'!R62</x:f>
        <x:v>16.550083333333333</x:v>
      </x:c>
      <x:c r="S62" s="28" t="n">
        <x:f>'Base Case'!S62</x:f>
        <x:v>17.251104166666668</x:v>
      </x:c>
      <x:c r="T62" s="28" t="n">
        <x:f>'Base Case'!T62</x:f>
        <x:v>17.949468958333334</x:v>
      </x:c>
      <x:c r="U62" s="28" t="n">
        <x:f>'Base Case'!U62</x:f>
        <x:v>18.60916875</x:v>
      </x:c>
      <x:c r="V62" s="28" t="n">
        <x:f>'Base Case'!V62</x:f>
        <x:v>19.302090833333335</x:v>
      </x:c>
      <x:c r="W62" s="28" t="n">
        <x:f>'Base Case'!W62</x:f>
        <x:v>20.066203541666667</x:v>
      </x:c>
      <x:c r="X62" s="28" t="n">
        <x:f>'Base Case'!X62</x:f>
        <x:v>20.824051475</x:v>
      </x:c>
      <x:c r="Y62" s="28" t="n">
        <x:f>'Base Case'!Y62</x:f>
        <x:v>21.536527250000002</x:v>
      </x:c>
      <x:c r="Z62" s="28" t="n">
        <x:f>'Base Case'!Z62</x:f>
        <x:v>22.284883100000002</x:v>
      </x:c>
      <x:c r="AA62" s="28" t="n">
        <x:f>'Base Case'!AA62</x:f>
        <x:v>23.110124825</x:v>
      </x:c>
    </x:row>
    <x:row r="63" ht="21" customHeight="1">
      <x:c r="A63" s="1"/>
      <x:c r="B63" s="1"/>
      <x:c r="C63" s="1" t="str">
        <x:v>Opening total debt</x:v>
      </x:c>
      <x:c r="D63" s="20" t="n">
        <x:f>D66-D49</x:f>
        <x:v>385</x:v>
      </x:c>
      <x:c r="E63" s="20" t="n">
        <x:f>D66</x:f>
        <x:v>383</x:v>
      </x:c>
      <x:c r="F63" s="20" t="n">
        <x:f>E66</x:f>
        <x:v>382.925</x:v>
      </x:c>
      <x:c r="G63" s="20" t="n">
        <x:f>F66</x:f>
        <x:v>382.41875</x:v>
      </x:c>
      <x:c r="H63" s="20" t="n">
        <x:f>G66</x:f>
        <x:v>380</x:v>
      </x:c>
      <x:c r="I63" s="20" t="n">
        <x:f>H66</x:f>
        <x:v>376.9</x:v>
      </x:c>
      <x:c r="J63" s="20" t="n">
        <x:f>I66</x:f>
        <x:v>373.675</x:v>
      </x:c>
      <x:c r="K63" s="20" t="n">
        <x:f>J66</x:f>
        <x:v>370.65625</x:v>
      </x:c>
      <x:c r="L63" s="20" t="n">
        <x:f>K66</x:f>
        <x:v>360</x:v>
      </x:c>
      <x:c r="M63" s="20" t="n">
        <x:f>L66</x:f>
        <x:v>357</x:v>
      </x:c>
      <x:c r="N63" s="20" t="n">
        <x:f>M66</x:f>
        <x:v>356.75</x:v>
      </x:c>
      <x:c r="O63" s="20" t="n">
        <x:f>N66</x:f>
        <x:v>355.9375</x:v>
      </x:c>
      <x:c r="P63" s="20" t="n">
        <x:f>O66</x:f>
        <x:v>350</x:v>
      </x:c>
      <x:c r="Q63" s="20" t="n">
        <x:f>P66</x:f>
        <x:v>337.5</x:v>
      </x:c>
      <x:c r="R63" s="20" t="n">
        <x:f>Q66</x:f>
        <x:v>325</x:v>
      </x:c>
      <x:c r="S63" s="20" t="n">
        <x:f>R66</x:f>
        <x:v>312.5</x:v>
      </x:c>
      <x:c r="T63" s="20" t="n">
        <x:f>S66</x:f>
        <x:v>300</x:v>
      </x:c>
      <x:c r="U63" s="20" t="n">
        <x:f>T66</x:f>
        <x:v>287.5</x:v>
      </x:c>
      <x:c r="V63" s="20" t="n">
        <x:f>U66</x:f>
        <x:v>275</x:v>
      </x:c>
      <x:c r="W63" s="20" t="n">
        <x:f>V66</x:f>
        <x:v>262.5</x:v>
      </x:c>
      <x:c r="X63" s="20" t="n">
        <x:f>W66</x:f>
        <x:v>250</x:v>
      </x:c>
      <x:c r="Y63" s="20" t="n">
        <x:f>X66</x:f>
        <x:v>237.5</x:v>
      </x:c>
      <x:c r="Z63" s="20" t="n">
        <x:f>Y66</x:f>
        <x:v>225</x:v>
      </x:c>
      <x:c r="AA63" s="20" t="n">
        <x:f>Z66</x:f>
        <x:v>212.5</x:v>
      </x:c>
    </x:row>
    <x:row r="64" ht="21" customHeight="1">
      <x:c r="A64" s="1"/>
      <x:c r="B64" s="1"/>
      <x:c r="C64" s="1" t="str">
        <x:v>Principal repayments</x:v>
      </x:c>
      <x:c r="D64" s="2" t="str">
        <x:v>n.a.</x:v>
      </x:c>
      <x:c r="E64" s="2" t="str">
        <x:v>n.a.</x:v>
      </x:c>
      <x:c r="F64" s="2" t="str">
        <x:v>n.a.</x:v>
      </x:c>
      <x:c r="G64" s="2" t="str">
        <x:v>n.a.</x:v>
      </x:c>
      <x:c r="H64" s="2" t="str">
        <x:v>n.a.</x:v>
      </x:c>
      <x:c r="I64" s="2" t="str">
        <x:v>n.a.</x:v>
      </x:c>
      <x:c r="J64" s="2" t="str">
        <x:v>n.a.</x:v>
      </x:c>
      <x:c r="K64" s="2" t="str">
        <x:v>n.a.</x:v>
      </x:c>
      <x:c r="L64" s="2" t="str">
        <x:v>n.a.</x:v>
      </x:c>
      <x:c r="M64" s="2" t="str">
        <x:v>n.a.</x:v>
      </x:c>
      <x:c r="N64" s="2" t="str">
        <x:v>n.a.</x:v>
      </x:c>
      <x:c r="O64" s="2" t="str">
        <x:v>n.a.</x:v>
      </x:c>
      <x:c r="P64" s="8" t="n">
        <x:f>MIN(P63,Assumptions!D12/4)</x:f>
        <x:v>12.5</x:v>
      </x:c>
      <x:c r="Q64" s="8" t="n">
        <x:f>MIN(Q63,Assumptions!D12/4)</x:f>
        <x:v>12.5</x:v>
      </x:c>
      <x:c r="R64" s="8" t="n">
        <x:f>MIN(R63,Assumptions!D12/4)</x:f>
        <x:v>12.5</x:v>
      </x:c>
      <x:c r="S64" s="8" t="n">
        <x:f>MIN(S63,Assumptions!D12/4)</x:f>
        <x:v>12.5</x:v>
      </x:c>
      <x:c r="T64" s="8" t="n">
        <x:f>MIN(T63,Assumptions!E12/4)</x:f>
        <x:v>12.5</x:v>
      </x:c>
      <x:c r="U64" s="8" t="n">
        <x:f>MIN(U63,Assumptions!E12/4)</x:f>
        <x:v>12.5</x:v>
      </x:c>
      <x:c r="V64" s="8" t="n">
        <x:f>MIN(V63,Assumptions!E12/4)</x:f>
        <x:v>12.5</x:v>
      </x:c>
      <x:c r="W64" s="8" t="n">
        <x:f>MIN(W63,Assumptions!E12/4)</x:f>
        <x:v>12.5</x:v>
      </x:c>
      <x:c r="X64" s="8" t="n">
        <x:f>MIN(X63,Assumptions!F12/4)</x:f>
        <x:v>12.5</x:v>
      </x:c>
      <x:c r="Y64" s="8" t="n">
        <x:f>MIN(Y63,Assumptions!F12/4)</x:f>
        <x:v>12.5</x:v>
      </x:c>
      <x:c r="Z64" s="8" t="n">
        <x:f>MIN(Z63,Assumptions!F12/4)</x:f>
        <x:v>12.5</x:v>
      </x:c>
      <x:c r="AA64" s="8" t="n">
        <x:f>MIN(AA63,Assumptions!F12/4)</x:f>
        <x:v>12.5</x:v>
      </x:c>
    </x:row>
    <x:row r="65" ht="21" customHeight="1">
      <x:c r="A65" s="1"/>
      <x:c r="B65" s="1"/>
      <x:c r="C65" s="1" t="str">
        <x:v>New cash borrowings</x:v>
      </x:c>
      <x:c r="D65" s="2" t="str">
        <x:v>n.a.</x:v>
      </x:c>
      <x:c r="E65" s="2" t="str">
        <x:v>n.a.</x:v>
      </x:c>
      <x:c r="F65" s="2" t="str">
        <x:v>n.a.</x:v>
      </x:c>
      <x:c r="G65" s="2" t="str">
        <x:v>n.a.</x:v>
      </x:c>
      <x:c r="H65" s="2" t="str">
        <x:v>n.a.</x:v>
      </x:c>
      <x:c r="I65" s="2" t="str">
        <x:v>n.a.</x:v>
      </x:c>
      <x:c r="J65" s="2" t="str">
        <x:v>n.a.</x:v>
      </x:c>
      <x:c r="K65" s="2" t="str">
        <x:v>n.a.</x:v>
      </x:c>
      <x:c r="L65" s="2" t="str">
        <x:v>n.a.</x:v>
      </x:c>
      <x:c r="M65" s="2" t="str">
        <x:v>n.a.</x:v>
      </x:c>
      <x:c r="N65" s="2" t="str">
        <x:v>n.a.</x:v>
      </x:c>
      <x:c r="O65" s="2" t="str">
        <x:v>n.a.</x:v>
      </x:c>
      <x:c r="P65" s="8" t="n">
        <x:f>Assumptions!D13/4</x:f>
        <x:v>0</x:v>
      </x:c>
      <x:c r="Q65" s="8" t="n">
        <x:f>Assumptions!D13/4</x:f>
        <x:v>0</x:v>
      </x:c>
      <x:c r="R65" s="8" t="n">
        <x:f>Assumptions!D13/4</x:f>
        <x:v>0</x:v>
      </x:c>
      <x:c r="S65" s="8" t="n">
        <x:f>Assumptions!D13/4</x:f>
        <x:v>0</x:v>
      </x:c>
      <x:c r="T65" s="8" t="n">
        <x:f>Assumptions!E13/4</x:f>
        <x:v>0</x:v>
      </x:c>
      <x:c r="U65" s="8" t="n">
        <x:f>Assumptions!E13/4</x:f>
        <x:v>0</x:v>
      </x:c>
      <x:c r="V65" s="8" t="n">
        <x:f>Assumptions!E13/4</x:f>
        <x:v>0</x:v>
      </x:c>
      <x:c r="W65" s="8" t="n">
        <x:f>Assumptions!E13/4</x:f>
        <x:v>0</x:v>
      </x:c>
      <x:c r="X65" s="8" t="n">
        <x:f>Assumptions!F13/4</x:f>
        <x:v>0</x:v>
      </x:c>
      <x:c r="Y65" s="8" t="n">
        <x:f>Assumptions!F13/4</x:f>
        <x:v>0</x:v>
      </x:c>
      <x:c r="Z65" s="8" t="n">
        <x:f>Assumptions!F13/4</x:f>
        <x:v>0</x:v>
      </x:c>
      <x:c r="AA65" s="8" t="n">
        <x:f>Assumptions!F13/4</x:f>
        <x:v>0</x:v>
      </x:c>
    </x:row>
    <x:row r="66" ht="21" customHeight="1">
      <x:c r="A66" s="1"/>
      <x:c r="B66" s="1"/>
      <x:c r="C66" s="27" t="str">
        <x:v>Closing total debt</x:v>
      </x:c>
      <x:c r="D66" s="29" t="n">
        <x:f>D31+D33</x:f>
        <x:v>383</x:v>
      </x:c>
      <x:c r="E66" s="29" t="n">
        <x:f>E31+E33</x:f>
        <x:v>382.925</x:v>
      </x:c>
      <x:c r="F66" s="29" t="n">
        <x:f>F31+F33</x:f>
        <x:v>382.41875</x:v>
      </x:c>
      <x:c r="G66" s="29" t="n">
        <x:f>G31+G33</x:f>
        <x:v>380</x:v>
      </x:c>
      <x:c r="H66" s="29" t="n">
        <x:f>H31+H33</x:f>
        <x:v>376.9</x:v>
      </x:c>
      <x:c r="I66" s="29" t="n">
        <x:f>I31+I33</x:f>
        <x:v>373.675</x:v>
      </x:c>
      <x:c r="J66" s="29" t="n">
        <x:f>J31+J33</x:f>
        <x:v>370.65625</x:v>
      </x:c>
      <x:c r="K66" s="29" t="n">
        <x:f>K31+K33</x:f>
        <x:v>360</x:v>
      </x:c>
      <x:c r="L66" s="29" t="n">
        <x:f>L31+L33</x:f>
        <x:v>357</x:v>
      </x:c>
      <x:c r="M66" s="29" t="n">
        <x:f>M31+M33</x:f>
        <x:v>356.75</x:v>
      </x:c>
      <x:c r="N66" s="29" t="n">
        <x:f>N31+N33</x:f>
        <x:v>355.9375</x:v>
      </x:c>
      <x:c r="O66" s="29" t="n">
        <x:f>O31+O33</x:f>
        <x:v>350</x:v>
      </x:c>
      <x:c r="P66" s="29" t="n">
        <x:f>P63-P64+P65</x:f>
        <x:v>337.5</x:v>
      </x:c>
      <x:c r="Q66" s="29" t="n">
        <x:f>Q63-Q64+Q65</x:f>
        <x:v>325</x:v>
      </x:c>
      <x:c r="R66" s="29" t="n">
        <x:f>R63-R64+R65</x:f>
        <x:v>312.5</x:v>
      </x:c>
      <x:c r="S66" s="29" t="n">
        <x:f>S63-S64+S65</x:f>
        <x:v>300</x:v>
      </x:c>
      <x:c r="T66" s="29" t="n">
        <x:f>T63-T64+T65</x:f>
        <x:v>287.5</x:v>
      </x:c>
      <x:c r="U66" s="29" t="n">
        <x:f>U63-U64+U65</x:f>
        <x:v>275</x:v>
      </x:c>
      <x:c r="V66" s="29" t="n">
        <x:f>V63-V64+V65</x:f>
        <x:v>262.5</x:v>
      </x:c>
      <x:c r="W66" s="29" t="n">
        <x:f>W63-W64+W65</x:f>
        <x:v>250</x:v>
      </x:c>
      <x:c r="X66" s="29" t="n">
        <x:f>X63-X64+X65</x:f>
        <x:v>237.5</x:v>
      </x:c>
      <x:c r="Y66" s="29" t="n">
        <x:f>Y63-Y64+Y65</x:f>
        <x:v>225</x:v>
      </x:c>
      <x:c r="Z66" s="29" t="n">
        <x:f>Z63-Z64+Z65</x:f>
        <x:v>212.5</x:v>
      </x:c>
      <x:c r="AA66" s="29" t="n">
        <x:f>AA63-AA64+AA65</x:f>
        <x:v>200</x:v>
      </x:c>
    </x:row>
    <x:row r="67" ht="21" customHeight="1">
      <x:c r="A67" s="1"/>
      <x:c r="B67" s="1"/>
      <x:c r="C67" s="1" t="str">
        <x:v>Average total debt</x:v>
      </x:c>
      <x:c r="D67" s="20" t="n">
        <x:f>AVERAGE(D63,D66)</x:f>
        <x:v>384</x:v>
      </x:c>
      <x:c r="E67" s="20" t="n">
        <x:f>AVERAGE(E63,E66)</x:f>
        <x:v>382.9625</x:v>
      </x:c>
      <x:c r="F67" s="20" t="n">
        <x:f>AVERAGE(F63,F66)</x:f>
        <x:v>382.671875</x:v>
      </x:c>
      <x:c r="G67" s="20" t="n">
        <x:f>AVERAGE(G63,G66)</x:f>
        <x:v>381.209375</x:v>
      </x:c>
      <x:c r="H67" s="20" t="n">
        <x:f>AVERAGE(H63,H66)</x:f>
        <x:v>378.45</x:v>
      </x:c>
      <x:c r="I67" s="20" t="n">
        <x:f>AVERAGE(I63,I66)</x:f>
        <x:v>375.2875</x:v>
      </x:c>
      <x:c r="J67" s="20" t="n">
        <x:f>AVERAGE(J63,J66)</x:f>
        <x:v>372.165625</x:v>
      </x:c>
      <x:c r="K67" s="20" t="n">
        <x:f>AVERAGE(K63,K66)</x:f>
        <x:v>365.328125</x:v>
      </x:c>
      <x:c r="L67" s="20" t="n">
        <x:f>AVERAGE(L63,L66)</x:f>
        <x:v>358.5</x:v>
      </x:c>
      <x:c r="M67" s="20" t="n">
        <x:f>AVERAGE(M63,M66)</x:f>
        <x:v>356.875</x:v>
      </x:c>
      <x:c r="N67" s="20" t="n">
        <x:f>AVERAGE(N63,N66)</x:f>
        <x:v>356.34375</x:v>
      </x:c>
      <x:c r="O67" s="20" t="n">
        <x:f>AVERAGE(O63,O66)</x:f>
        <x:v>352.96875</x:v>
      </x:c>
      <x:c r="P67" s="20" t="n">
        <x:f>AVERAGE(P63,P66)</x:f>
        <x:v>343.75</x:v>
      </x:c>
      <x:c r="Q67" s="20" t="n">
        <x:f>AVERAGE(Q63,Q66)</x:f>
        <x:v>331.25</x:v>
      </x:c>
      <x:c r="R67" s="20" t="n">
        <x:f>AVERAGE(R63,R66)</x:f>
        <x:v>318.75</x:v>
      </x:c>
      <x:c r="S67" s="20" t="n">
        <x:f>AVERAGE(S63,S66)</x:f>
        <x:v>306.25</x:v>
      </x:c>
      <x:c r="T67" s="20" t="n">
        <x:f>AVERAGE(T63,T66)</x:f>
        <x:v>293.75</x:v>
      </x:c>
      <x:c r="U67" s="20" t="n">
        <x:f>AVERAGE(U63,U66)</x:f>
        <x:v>281.25</x:v>
      </x:c>
      <x:c r="V67" s="20" t="n">
        <x:f>AVERAGE(V63,V66)</x:f>
        <x:v>268.75</x:v>
      </x:c>
      <x:c r="W67" s="20" t="n">
        <x:f>AVERAGE(W63,W66)</x:f>
        <x:v>256.25</x:v>
      </x:c>
      <x:c r="X67" s="20" t="n">
        <x:f>AVERAGE(X63,X66)</x:f>
        <x:v>243.75</x:v>
      </x:c>
      <x:c r="Y67" s="20" t="n">
        <x:f>AVERAGE(Y63,Y66)</x:f>
        <x:v>231.25</x:v>
      </x:c>
      <x:c r="Z67" s="20" t="n">
        <x:f>AVERAGE(Z63,Z66)</x:f>
        <x:v>218.75</x:v>
      </x:c>
      <x:c r="AA67" s="20" t="n">
        <x:f>AVERAGE(AA63,AA66)</x:f>
        <x:v>206.25</x:v>
      </x:c>
    </x:row>
    <x:row r="68" ht="21" customHeight="1">
      <x:c r="A68" s="1"/>
      <x:c r="B68" s="1"/>
      <x:c r="C68" s="1" t="str">
        <x:v>Annual borrowing rate</x:v>
      </x:c>
      <x:c r="D68" s="33" t="str">
        <x:v>n.a.</x:v>
      </x:c>
      <x:c r="E68" s="33" t="str">
        <x:v>n.a.</x:v>
      </x:c>
      <x:c r="F68" s="33" t="str">
        <x:v>n.a.</x:v>
      </x:c>
      <x:c r="G68" s="33" t="str">
        <x:v>n.a.</x:v>
      </x:c>
      <x:c r="H68" s="33" t="str">
        <x:v>n.a.</x:v>
      </x:c>
      <x:c r="I68" s="33" t="str">
        <x:v>n.a.</x:v>
      </x:c>
      <x:c r="J68" s="33" t="str">
        <x:v>n.a.</x:v>
      </x:c>
      <x:c r="K68" s="33" t="str">
        <x:v>n.a.</x:v>
      </x:c>
      <x:c r="L68" s="33" t="str">
        <x:v>n.a.</x:v>
      </x:c>
      <x:c r="M68" s="33" t="str">
        <x:v>n.a.</x:v>
      </x:c>
      <x:c r="N68" s="33" t="str">
        <x:v>n.a.</x:v>
      </x:c>
      <x:c r="O68" s="33" t="str">
        <x:v>n.a.</x:v>
      </x:c>
      <x:c r="P68" s="10" t="n">
        <x:f>Assumptions!D11</x:f>
        <x:v>0.056338028169014086</x:v>
      </x:c>
      <x:c r="Q68" s="10" t="n">
        <x:f>Assumptions!D11</x:f>
        <x:v>0.056338028169014086</x:v>
      </x:c>
      <x:c r="R68" s="10" t="n">
        <x:f>Assumptions!D11</x:f>
        <x:v>0.056338028169014086</x:v>
      </x:c>
      <x:c r="S68" s="10" t="n">
        <x:f>Assumptions!D11</x:f>
        <x:v>0.056338028169014086</x:v>
      </x:c>
      <x:c r="T68" s="10" t="n">
        <x:f>Assumptions!E11</x:f>
        <x:v>0.056338028169014086</x:v>
      </x:c>
      <x:c r="U68" s="10" t="n">
        <x:f>Assumptions!E11</x:f>
        <x:v>0.056338028169014086</x:v>
      </x:c>
      <x:c r="V68" s="10" t="n">
        <x:f>Assumptions!E11</x:f>
        <x:v>0.056338028169014086</x:v>
      </x:c>
      <x:c r="W68" s="10" t="n">
        <x:f>Assumptions!E11</x:f>
        <x:v>0.056338028169014086</x:v>
      </x:c>
      <x:c r="X68" s="10" t="n">
        <x:f>Assumptions!F11</x:f>
        <x:v>0.056338028169014086</x:v>
      </x:c>
      <x:c r="Y68" s="10" t="n">
        <x:f>Assumptions!F11</x:f>
        <x:v>0.056338028169014086</x:v>
      </x:c>
      <x:c r="Z68" s="10" t="n">
        <x:f>Assumptions!F11</x:f>
        <x:v>0.056338028169014086</x:v>
      </x:c>
      <x:c r="AA68" s="10" t="n">
        <x:f>Assumptions!F11</x:f>
        <x:v>0.056338028169014086</x:v>
      </x:c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A70" s="1"/>
      <x:c r="B70" s="1"/>
      <x:c r="C70" s="15" t="str">
        <x:v>Scenario operating drivers</x:v>
      </x:c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s="16"/>
      <x:c r="Y70" s="16"/>
      <x:c r="Z70" s="16"/>
      <x:c r="AA70" s="16"/>
    </x:row>
    <x:row r="71" ht="21" customHeight="1">
      <x:c r="A71" s="1"/>
      <x:c r="B71" s="1"/>
      <x:c r="C71" s="1" t="str">
        <x:v>Unshocked baseline revenue</x:v>
      </x:c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8" t="n">
        <x:f>'Base Case'!P10</x:f>
        <x:v>247.31666666666666</x:v>
      </x:c>
      <x:c r="Q71" s="8" t="n">
        <x:f>'Base Case'!Q10</x:f>
        <x:v>236.86666666666665</x:v>
      </x:c>
      <x:c r="R71" s="8" t="n">
        <x:f>'Base Case'!R10</x:f>
        <x:v>271.7</x:v>
      </x:c>
      <x:c r="S71" s="8" t="n">
        <x:f>'Base Case'!S10</x:f>
        <x:v>289.1166666666667</x:v>
      </x:c>
      <x:c r="T71" s="8" t="n">
        <x:f>'Base Case'!T10</x:f>
        <x:v>269.5751666666667</x:v>
      </x:c>
      <x:c r="U71" s="8" t="n">
        <x:f>'Base Case'!U10</x:f>
        <x:v>258.1846666666667</x:v>
      </x:c>
      <x:c r="V71" s="8" t="n">
        <x:f>'Base Case'!V10</x:f>
        <x:v>296.1530000000001</x:v>
      </x:c>
      <x:c r="W71" s="8" t="n">
        <x:f>'Base Case'!W10</x:f>
        <x:v>315.1371666666667</x:v>
      </x:c>
      <x:c r="X71" s="8" t="n">
        <x:f>'Base Case'!X10</x:f>
        <x:v>291.14118</x:v>
      </x:c>
      <x:c r="Y71" s="8" t="n">
        <x:f>'Base Case'!Y10</x:f>
        <x:v>278.83944</x:v>
      </x:c>
      <x:c r="Z71" s="8" t="n">
        <x:f>'Base Case'!Z10</x:f>
        <x:v>319.84524000000005</x:v>
      </x:c>
      <x:c r="AA71" s="8" t="n">
        <x:f>'Base Case'!AA10</x:f>
        <x:v>340.34814000000006</x:v>
      </x:c>
    </x:row>
    <x:row r="72" ht="21" customHeight="1">
      <x:c r="A72" s="1"/>
      <x:c r="B72" s="1"/>
      <x:c r="C72" s="1" t="str">
        <x:v>Unshocked baseline COGS</x:v>
      </x:c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8" t="n">
        <x:f>'Base Case'!P11</x:f>
        <x:v>148.39</x:v>
      </x:c>
      <x:c r="Q72" s="8" t="n">
        <x:f>'Base Case'!Q11</x:f>
        <x:v>142.11999999999998</x:v>
      </x:c>
      <x:c r="R72" s="8" t="n">
        <x:f>'Base Case'!R11</x:f>
        <x:v>163.01999999999998</x:v>
      </x:c>
      <x:c r="S72" s="8" t="n">
        <x:f>'Base Case'!S11</x:f>
        <x:v>173.47</x:v>
      </x:c>
      <x:c r="T72" s="8" t="n">
        <x:f>'Base Case'!T11</x:f>
        <x:v>161.7451</x:v>
      </x:c>
      <x:c r="U72" s="8" t="n">
        <x:f>'Base Case'!U11</x:f>
        <x:v>154.91080000000002</x:v>
      </x:c>
      <x:c r="V72" s="8" t="n">
        <x:f>'Base Case'!V11</x:f>
        <x:v>177.69180000000003</x:v>
      </x:c>
      <x:c r="W72" s="8" t="n">
        <x:f>'Base Case'!W11</x:f>
        <x:v>189.0823</x:v>
      </x:c>
      <x:c r="X72" s="8" t="n">
        <x:f>'Base Case'!X11</x:f>
        <x:v>174.684708</x:v>
      </x:c>
      <x:c r="Y72" s="8" t="n">
        <x:f>'Base Case'!Y11</x:f>
        <x:v>167.303664</x:v>
      </x:c>
      <x:c r="Z72" s="8" t="n">
        <x:f>'Base Case'!Z11</x:f>
        <x:v>191.90714400000002</x:v>
      </x:c>
      <x:c r="AA72" s="8" t="n">
        <x:f>'Base Case'!AA11</x:f>
        <x:v>204.20888400000004</x:v>
      </x:c>
    </x:row>
    <x:row r="73" ht="21" customHeight="1">
      <x:c r="A73" s="1"/>
      <x:c r="B73" s="1"/>
      <x:c r="C73" s="1" t="str">
        <x:v>Unshocked baseline cash opex</x:v>
      </x:c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8" t="n">
        <x:f>'Base Case'!P14</x:f>
        <x:v>36.75752083333333</x:v>
      </x:c>
      <x:c r="Q73" s="8" t="n">
        <x:f>'Base Case'!Q14</x:f>
        <x:v>33.95229166666666</x:v>
      </x:c>
      <x:c r="R73" s="8" t="n">
        <x:f>'Base Case'!R14</x:f>
        <x:v>40.64991666666666</x:v>
      </x:c>
      <x:c r="S73" s="8" t="n">
        <x:f>'Base Case'!S14</x:f>
        <x:v>43.615562499999996</x:v>
      </x:c>
      <x:c r="T73" s="8" t="n">
        <x:f>'Base Case'!T14</x:f>
        <x:v>38.803197708333336</x:v>
      </x:c>
      <x:c r="U73" s="8" t="n">
        <x:f>'Base Case'!U14</x:f>
        <x:v>35.74549791666668</x:v>
      </x:c>
      <x:c r="V73" s="8" t="n">
        <x:f>'Base Case'!V14</x:f>
        <x:v>43.045909166666675</x:v>
      </x:c>
      <x:c r="W73" s="8" t="n">
        <x:f>'Base Case'!W14</x:f>
        <x:v>46.278463125</x:v>
      </x:c>
      <x:c r="X73" s="8" t="n">
        <x:f>'Base Case'!X14</x:f>
        <x:v>40.468828525000006</x:v>
      </x:c>
      <x:c r="Y73" s="8" t="n">
        <x:f>'Base Case'!Y14</x:f>
        <x:v>37.166512749999995</x:v>
      </x:c>
      <x:c r="Z73" s="8" t="n">
        <x:f>'Base Case'!Z14</x:f>
        <x:v>45.0509569</x:v>
      </x:c>
      <x:c r="AA73" s="8" t="n">
        <x:f>'Base Case'!AA14</x:f>
        <x:v>48.542115175000006</x:v>
      </x:c>
    </x:row>
    <x:row r="74" ht="21" customHeight="1">
      <x:c r="A74" s="1"/>
      <x:c r="B74" s="1"/>
      <x:c r="C74" s="1" t="str">
        <x:v>Additional material cost</x:v>
      </x:c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8" t="n">
        <x:f>P72*Assumptions!D61*Assumptions!D62</x:f>
        <x:v>14.838999999999999</x:v>
      </x:c>
      <x:c r="Q74" s="8" t="n">
        <x:f>Q72*Assumptions!D61*Assumptions!D62</x:f>
        <x:v>14.211999999999998</x:v>
      </x:c>
      <x:c r="R74" s="8" t="n">
        <x:f>R72*Assumptions!D61*Assumptions!D62</x:f>
        <x:v>16.302</x:v>
      </x:c>
      <x:c r="S74" s="8" t="n">
        <x:f>S72*Assumptions!D61*Assumptions!D62</x:f>
        <x:v>17.347</x:v>
      </x:c>
      <x:c r="T74" s="8" t="n">
        <x:f>T72*Assumptions!E61*Assumptions!E62</x:f>
        <x:v>16.17451</x:v>
      </x:c>
      <x:c r="U74" s="8" t="n">
        <x:f>U72*Assumptions!E61*Assumptions!E62</x:f>
        <x:v>15.491080000000004</x:v>
      </x:c>
      <x:c r="V74" s="8" t="n">
        <x:f>V72*Assumptions!E61*Assumptions!E62</x:f>
        <x:v>17.769180000000002</x:v>
      </x:c>
      <x:c r="W74" s="8" t="n">
        <x:f>W72*Assumptions!E61*Assumptions!E62</x:f>
        <x:v>18.90823</x:v>
      </x:c>
      <x:c r="X74" s="8" t="n">
        <x:f>X72*Assumptions!F61*Assumptions!F62</x:f>
        <x:v>17.468470800000002</x:v>
      </x:c>
      <x:c r="Y74" s="8" t="n">
        <x:f>Y72*Assumptions!F61*Assumptions!F62</x:f>
        <x:v>16.7303664</x:v>
      </x:c>
      <x:c r="Z74" s="8" t="n">
        <x:f>Z72*Assumptions!F61*Assumptions!F62</x:f>
        <x:v>19.1907144</x:v>
      </x:c>
      <x:c r="AA74" s="8" t="n">
        <x:f>AA72*Assumptions!F61*Assumptions!F62</x:f>
        <x:v>20.420888400000006</x:v>
      </x:c>
    </x:row>
    <x:row r="75" ht="21" customHeight="1">
      <x:c r="A75" s="1"/>
      <x:c r="B75" s="1"/>
      <x:c r="C75" s="1" t="str">
        <x:v>Recovered material cost in revenue</x:v>
      </x:c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8" t="n">
        <x:f>P74*Assumptions!D63</x:f>
        <x:v>5.9356</x:v>
      </x:c>
      <x:c r="Q75" s="8" t="n">
        <x:f>Q74*Assumptions!D63</x:f>
        <x:v>5.684799999999999</x:v>
      </x:c>
      <x:c r="R75" s="8" t="n">
        <x:f>R74*Assumptions!D63</x:f>
        <x:v>6.5208</x:v>
      </x:c>
      <x:c r="S75" s="8" t="n">
        <x:f>S74*Assumptions!D63</x:f>
        <x:v>6.9388000000000005</x:v>
      </x:c>
      <x:c r="T75" s="8" t="n">
        <x:f>T74*Assumptions!E63</x:f>
        <x:v>6.469804000000001</x:v>
      </x:c>
      <x:c r="U75" s="8" t="n">
        <x:f>U74*Assumptions!E63</x:f>
        <x:v>6.1964320000000015</x:v>
      </x:c>
      <x:c r="V75" s="8" t="n">
        <x:f>V74*Assumptions!E63</x:f>
        <x:v>7.107672000000001</x:v>
      </x:c>
      <x:c r="W75" s="8" t="n">
        <x:f>W74*Assumptions!E63</x:f>
        <x:v>7.563292000000001</x:v>
      </x:c>
      <x:c r="X75" s="8" t="n">
        <x:f>X74*Assumptions!F63</x:f>
        <x:v>6.987388320000001</x:v>
      </x:c>
      <x:c r="Y75" s="8" t="n">
        <x:f>Y74*Assumptions!F63</x:f>
        <x:v>6.692146560000001</x:v>
      </x:c>
      <x:c r="Z75" s="8" t="n">
        <x:f>Z74*Assumptions!F63</x:f>
        <x:v>7.676285760000001</x:v>
      </x:c>
      <x:c r="AA75" s="8" t="n">
        <x:f>AA74*Assumptions!F63</x:f>
        <x:v>8.168355360000003</x:v>
      </x:c>
    </x:row>
    <x:row r="76" ht="21" customHeight="1">
      <x:c r="A76" s="1"/>
      <x:c r="B76" s="1"/>
      <x:c r="C76" s="1" t="str">
        <x:v>Receivable days after shock</x:v>
      </x:c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8" t="n">
        <x:f>Assumptions!D22+Assumptions!D64</x:f>
        <x:v>49.736842105263165</x:v>
      </x:c>
      <x:c r="Q76" s="8" t="n">
        <x:f>Assumptions!E22+Assumptions!D64</x:f>
        <x:v>56.848970251716246</x:v>
      </x:c>
      <x:c r="R76" s="8" t="n">
        <x:f>Assumptions!F22+Assumptions!D64</x:f>
        <x:v>53.07692307692307</x:v>
      </x:c>
      <x:c r="S76" s="8" t="n">
        <x:f>Assumptions!G22+Assumptions!D64</x:f>
        <x:v>53.80116959064327</x:v>
      </x:c>
      <x:c r="T76" s="8" t="n">
        <x:f>Assumptions!D22+Assumptions!E64</x:f>
        <x:v>49.736842105263165</x:v>
      </x:c>
      <x:c r="U76" s="8" t="n">
        <x:f>Assumptions!E22+Assumptions!E64</x:f>
        <x:v>56.848970251716246</x:v>
      </x:c>
      <x:c r="V76" s="8" t="n">
        <x:f>Assumptions!F22+Assumptions!E64</x:f>
        <x:v>53.07692307692307</x:v>
      </x:c>
      <x:c r="W76" s="8" t="n">
        <x:f>Assumptions!G22+Assumptions!E64</x:f>
        <x:v>53.80116959064327</x:v>
      </x:c>
      <x:c r="X76" s="8" t="n">
        <x:f>Assumptions!D22+Assumptions!F64</x:f>
        <x:v>49.736842105263165</x:v>
      </x:c>
      <x:c r="Y76" s="8" t="n">
        <x:f>Assumptions!E22+Assumptions!F64</x:f>
        <x:v>56.848970251716246</x:v>
      </x:c>
      <x:c r="Z76" s="8" t="n">
        <x:f>Assumptions!F22+Assumptions!F64</x:f>
        <x:v>53.07692307692307</x:v>
      </x:c>
      <x:c r="AA76" s="8" t="n">
        <x:f>Assumptions!G22+Assumptions!F64</x:f>
        <x:v>53.80116959064327</x:v>
      </x:c>
    </x:row>
    <x:row r="77" ht="21" customHeight="1">
      <x:c r="A77" s="1"/>
      <x:c r="B77" s="1"/>
      <x:c r="C77" s="1" t="str">
        <x:v>Inventory days after shock</x:v>
      </x:c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8" t="n">
        <x:f>Assumptions!D23+Assumptions!D65</x:f>
        <x:v>125.52631578947367</x:v>
      </x:c>
      <x:c r="Q77" s="8" t="n">
        <x:f>Assumptions!E23+Assumptions!D65</x:f>
        <x:v>141.33104500381387</x:v>
      </x:c>
      <x:c r="R77" s="8" t="n">
        <x:f>Assumptions!F23+Assumptions!D65</x:f>
        <x:v>132.94871794871796</x:v>
      </x:c>
      <x:c r="S77" s="8" t="n">
        <x:f>Assumptions!G23+Assumptions!D65</x:f>
        <x:v>134.55815464587394</x:v>
      </x:c>
      <x:c r="T77" s="8" t="n">
        <x:f>Assumptions!D23+Assumptions!E65</x:f>
        <x:v>125.52631578947367</x:v>
      </x:c>
      <x:c r="U77" s="8" t="n">
        <x:f>Assumptions!E23+Assumptions!E65</x:f>
        <x:v>141.33104500381387</x:v>
      </x:c>
      <x:c r="V77" s="8" t="n">
        <x:f>Assumptions!F23+Assumptions!E65</x:f>
        <x:v>132.94871794871796</x:v>
      </x:c>
      <x:c r="W77" s="8" t="n">
        <x:f>Assumptions!G23+Assumptions!E65</x:f>
        <x:v>134.55815464587394</x:v>
      </x:c>
      <x:c r="X77" s="8" t="n">
        <x:f>Assumptions!D23+Assumptions!F65</x:f>
        <x:v>125.52631578947367</x:v>
      </x:c>
      <x:c r="Y77" s="8" t="n">
        <x:f>Assumptions!E23+Assumptions!F65</x:f>
        <x:v>141.33104500381387</x:v>
      </x:c>
      <x:c r="Z77" s="8" t="n">
        <x:f>Assumptions!F23+Assumptions!F65</x:f>
        <x:v>132.94871794871796</x:v>
      </x:c>
      <x:c r="AA77" s="8" t="n">
        <x:f>Assumptions!G23+Assumptions!F65</x:f>
        <x:v>134.55815464587394</x:v>
      </x:c>
    </x:row>
    <x:row r="78" ht="21" customHeight="1">
      <x:c r="A78" s="1"/>
      <x:c r="B78" s="1"/>
      <x:c r="C78" s="1" t="str">
        <x:v>Payable days after shock</x:v>
      </x:c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8" t="n">
        <x:f>Assumptions!D24+Assumptions!D66</x:f>
        <x:v>78.1578947368421</x:v>
      </x:c>
      <x:c r="Q78" s="8" t="n">
        <x:f>Assumptions!E24+Assumptions!D66</x:f>
        <x:v>80.79633867276888</x:v>
      </x:c>
      <x:c r="R78" s="8" t="n">
        <x:f>Assumptions!F24+Assumptions!D66</x:f>
        <x:v>73.00404858299595</x:v>
      </x:c>
      <x:c r="S78" s="8" t="n">
        <x:f>Assumptions!G24+Assumptions!D66</x:f>
        <x:v>71.73489278752436</x:v>
      </x:c>
      <x:c r="T78" s="8" t="n">
        <x:f>Assumptions!D24+Assumptions!E66</x:f>
        <x:v>78.1578947368421</x:v>
      </x:c>
      <x:c r="U78" s="8" t="n">
        <x:f>Assumptions!E24+Assumptions!E66</x:f>
        <x:v>80.79633867276888</x:v>
      </x:c>
      <x:c r="V78" s="8" t="n">
        <x:f>Assumptions!F24+Assumptions!E66</x:f>
        <x:v>73.00404858299595</x:v>
      </x:c>
      <x:c r="W78" s="8" t="n">
        <x:f>Assumptions!G24+Assumptions!E66</x:f>
        <x:v>71.73489278752436</x:v>
      </x:c>
      <x:c r="X78" s="8" t="n">
        <x:f>Assumptions!D24+Assumptions!F66</x:f>
        <x:v>78.1578947368421</x:v>
      </x:c>
      <x:c r="Y78" s="8" t="n">
        <x:f>Assumptions!E24+Assumptions!F66</x:f>
        <x:v>80.79633867276888</x:v>
      </x:c>
      <x:c r="Z78" s="8" t="n">
        <x:f>Assumptions!F24+Assumptions!F66</x:f>
        <x:v>73.00404858299595</x:v>
      </x:c>
      <x:c r="AA78" s="8" t="n">
        <x:f>Assumptions!G24+Assumptions!F66</x:f>
        <x:v>71.73489278752436</x:v>
      </x:c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A92" s="1"/>
      <x:c r="B92" s="1"/>
      <x:c r="C92" s="36" t="str">
        <x:v>Annual financial statements</x:v>
      </x:c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A93" s="1"/>
      <x:c r="B93" s="1"/>
      <x:c r="C93" s="1" t="str">
        <x:v>USD millions. Income and cash flows sum quarters; balance sheets use Q4.</x:v>
      </x:c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A95" s="1"/>
      <x:c r="B95" s="1"/>
      <x:c r="C95" s="1"/>
      <x:c r="D95" s="40" t="str">
        <x:v>2021</x:v>
      </x:c>
      <x:c r="E95" s="40" t="str">
        <x:v>2022</x:v>
      </x:c>
      <x:c r="F95" s="40" t="str">
        <x:v>2023</x:v>
      </x:c>
      <x:c r="G95" s="40" t="str">
        <x:v>2024</x:v>
      </x:c>
      <x:c r="H95" s="40" t="str">
        <x:v>2025</x:v>
      </x:c>
      <x:c r="I95" s="40" t="str">
        <x:v>2026</x:v>
      </x:c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A96" s="1"/>
      <x:c r="B96" s="1"/>
      <x:c r="C96" s="1"/>
      <x:c r="D96" s="39" t="str">
        <x:v>Historical basis</x:v>
      </x:c>
      <x:c r="E96" s="39" t="str">
        <x:v>Historical basis</x:v>
      </x:c>
      <x:c r="F96" s="39" t="str">
        <x:v>Historical basis</x:v>
      </x:c>
      <x:c r="G96" s="39" t="str">
        <x:v>Cost volatility</x:v>
      </x:c>
      <x:c r="H96" s="39" t="str">
        <x:v>Cost volatility</x:v>
      </x:c>
      <x:c r="I96" s="39" t="str">
        <x:v>Cost volatility</x:v>
      </x:c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A97" s="1"/>
      <x:c r="B97" s="1"/>
      <x:c r="C97" s="15" t="str">
        <x:v>Income statement</x:v>
      </x:c>
      <x:c r="D97" s="16"/>
      <x:c r="E97" s="16"/>
      <x:c r="F97" s="16"/>
      <x:c r="G97" s="16"/>
      <x:c r="H97" s="16"/>
      <x:c r="I97" s="16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A98" s="1"/>
      <x:c r="B98" s="1"/>
      <x:c r="C98" s="27" t="str">
        <x:v>Revenue</x:v>
      </x:c>
      <x:c r="D98" s="31" t="n">
        <x:f>SUM('Scenario 2 Costs'!D10:G10)</x:f>
        <x:v>720.0000000000001</x:v>
      </x:c>
      <x:c r="E98" s="31" t="n">
        <x:f>SUM('Scenario 2 Costs'!H10:K10)</x:f>
        <x:v>850</x:v>
      </x:c>
      <x:c r="F98" s="31" t="n">
        <x:f>SUM('Scenario 2 Costs'!L10:O10)</x:f>
        <x:v>950</x:v>
      </x:c>
      <x:c r="G98" s="31" t="n">
        <x:f>SUM('Scenario 2 Costs'!P10:S10)</x:f>
        <x:v>1070.08</x:v>
      </x:c>
      <x:c r="H98" s="31" t="n">
        <x:f>SUM('Scenario 2 Costs'!T10:W10)</x:f>
        <x:v>1166.3872000000001</x:v>
      </x:c>
      <x:c r="I98" s="31" t="n">
        <x:f>SUM('Scenario 2 Costs'!X10:AA10)</x:f>
        <x:v>1259.698176</x:v>
      </x:c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A99" s="1"/>
      <x:c r="B99" s="1"/>
      <x:c r="C99" s="41" t="str">
        <x:v>Revenue growth</x:v>
      </x:c>
      <x:c r="D99" s="42" t="str">
        <x:f>"n.a."</x:f>
        <x:v>n.a.</x:v>
      </x:c>
      <x:c r="E99" s="42" t="n">
        <x:f>E98/D98-1</x:f>
        <x:v>0.18055555555555536</x:v>
      </x:c>
      <x:c r="F99" s="42" t="n">
        <x:f>F98/E98-1</x:f>
        <x:v>0.11764705882352944</x:v>
      </x:c>
      <x:c r="G99" s="42" t="n">
        <x:f>G98/F98-1</x:f>
        <x:v>0.12639999999999985</x:v>
      </x:c>
      <x:c r="H99" s="42" t="n">
        <x:f>H98/G98-1</x:f>
        <x:v>0.09000000000000008</x:v>
      </x:c>
      <x:c r="I99" s="42" t="n">
        <x:f>I98/H98-1</x:f>
        <x:v>0.08000000000000007</x:v>
      </x:c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A100" s="1"/>
      <x:c r="B100" s="1"/>
      <x:c r="C100" s="1" t="str">
        <x:v>Cost of goods sold</x:v>
      </x:c>
      <x:c r="D100" s="2" t="n">
        <x:f>SUM('Scenario 2 Costs'!D11:G11)</x:f>
        <x:v>432</x:v>
      </x:c>
      <x:c r="E100" s="2" t="n">
        <x:f>SUM('Scenario 2 Costs'!H11:K11)</x:f>
        <x:v>510</x:v>
      </x:c>
      <x:c r="F100" s="2" t="n">
        <x:f>SUM('Scenario 2 Costs'!L11:O11)</x:f>
        <x:v>570</x:v>
      </x:c>
      <x:c r="G100" s="2" t="n">
        <x:f>SUM('Scenario 2 Costs'!P11:S11)</x:f>
        <x:v>689.6999999999999</x:v>
      </x:c>
      <x:c r="H100" s="2" t="n">
        <x:f>SUM('Scenario 2 Costs'!T11:W11)</x:f>
        <x:v>751.7730000000001</x:v>
      </x:c>
      <x:c r="I100" s="2" t="n">
        <x:f>SUM('Scenario 2 Costs'!X11:AA11)</x:f>
        <x:v>811.9148400000001</x:v>
      </x:c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A101" s="1"/>
      <x:c r="B101" s="1"/>
      <x:c r="C101" s="27" t="str">
        <x:v>Gross profit</x:v>
      </x:c>
      <x:c r="D101" s="31" t="n">
        <x:f>SUM('Scenario 2 Costs'!D12:G12)</x:f>
        <x:v>288</x:v>
      </x:c>
      <x:c r="E101" s="31" t="n">
        <x:f>SUM('Scenario 2 Costs'!H12:K12)</x:f>
        <x:v>340</x:v>
      </x:c>
      <x:c r="F101" s="31" t="n">
        <x:f>SUM('Scenario 2 Costs'!L12:O12)</x:f>
        <x:v>380</x:v>
      </x:c>
      <x:c r="G101" s="31" t="n">
        <x:f>SUM('Scenario 2 Costs'!P12:S12)</x:f>
        <x:v>380.38000000000005</x:v>
      </x:c>
      <x:c r="H101" s="31" t="n">
        <x:f>SUM('Scenario 2 Costs'!T12:W12)</x:f>
        <x:v>414.6142000000001</x:v>
      </x:c>
      <x:c r="I101" s="31" t="n">
        <x:f>SUM('Scenario 2 Costs'!X12:AA12)</x:f>
        <x:v>447.7833360000001</x:v>
      </x:c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A102" s="1"/>
      <x:c r="B102" s="1"/>
      <x:c r="C102" s="41" t="str">
        <x:v>Gross margin</x:v>
      </x:c>
      <x:c r="D102" s="42" t="n">
        <x:f>D101/D98</x:f>
        <x:v>0.3999999999999999</x:v>
      </x:c>
      <x:c r="E102" s="42" t="n">
        <x:f>E101/E98</x:f>
        <x:v>0.4</x:v>
      </x:c>
      <x:c r="F102" s="42" t="n">
        <x:f>F101/F98</x:f>
        <x:v>0.4</x:v>
      </x:c>
      <x:c r="G102" s="42" t="n">
        <x:f>G101/G98</x:f>
        <x:v>0.35546875000000006</x:v>
      </x:c>
      <x:c r="H102" s="42" t="n">
        <x:f>H101/H98</x:f>
        <x:v>0.35546875000000006</x:v>
      </x:c>
      <x:c r="I102" s="42" t="n">
        <x:f>I101/I98</x:f>
        <x:v>0.35546875000000006</x:v>
      </x:c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A103" s="1"/>
      <x:c r="B103" s="1"/>
      <x:c r="C103" s="1" t="str">
        <x:v>Operating expenses</x:v>
      </x:c>
      <x:c r="D103" s="2" t="n">
        <x:f>SUM('Scenario 2 Costs'!D13:G13)</x:f>
        <x:v>150</x:v>
      </x:c>
      <x:c r="E103" s="2" t="n">
        <x:f>SUM('Scenario 2 Costs'!H13:K13)</x:f>
        <x:v>180</x:v>
      </x:c>
      <x:c r="F103" s="2" t="n">
        <x:f>SUM('Scenario 2 Costs'!L13:O13)</x:f>
        <x:v>200</x:v>
      </x:c>
      <x:c r="G103" s="2" t="n">
        <x:f>SUM('Scenario 2 Costs'!P13:S13)</x:f>
        <x:v>220</x:v>
      </x:c>
      <x:c r="H103" s="2" t="n">
        <x:f>SUM('Scenario 2 Costs'!T13:W13)</x:f>
        <x:v>239.8</x:v>
      </x:c>
      <x:c r="I103" s="2" t="n">
        <x:f>SUM('Scenario 2 Costs'!X13:AA13)</x:f>
        <x:v>258.98400000000004</x:v>
      </x:c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A104" s="1"/>
      <x:c r="B104" s="1"/>
      <x:c r="C104" s="27" t="str">
        <x:v>Operating income</x:v>
      </x:c>
      <x:c r="D104" s="31" t="n">
        <x:f>SUM('Scenario 2 Costs'!D16:G16)</x:f>
        <x:v>138</x:v>
      </x:c>
      <x:c r="E104" s="31" t="n">
        <x:f>SUM('Scenario 2 Costs'!H16:K16)</x:f>
        <x:v>160</x:v>
      </x:c>
      <x:c r="F104" s="31" t="n">
        <x:f>SUM('Scenario 2 Costs'!L16:O16)</x:f>
        <x:v>179.99999999999997</x:v>
      </x:c>
      <x:c r="G104" s="31" t="n">
        <x:f>SUM('Scenario 2 Costs'!P16:S16)</x:f>
        <x:v>160.38000000000005</x:v>
      </x:c>
      <x:c r="H104" s="31" t="n">
        <x:f>SUM('Scenario 2 Costs'!T16:W16)</x:f>
        <x:v>174.81420000000008</x:v>
      </x:c>
      <x:c r="I104" s="31" t="n">
        <x:f>SUM('Scenario 2 Costs'!X16:AA16)</x:f>
        <x:v>188.7993360000001</x:v>
      </x:c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A105" s="1"/>
      <x:c r="B105" s="1"/>
      <x:c r="C105" s="41" t="str">
        <x:v>Operating margin</x:v>
      </x:c>
      <x:c r="D105" s="42" t="n">
        <x:f>D104/D98</x:f>
        <x:v>0.19166666666666662</x:v>
      </x:c>
      <x:c r="E105" s="42" t="n">
        <x:f>E104/E98</x:f>
        <x:v>0.18823529411764706</x:v>
      </x:c>
      <x:c r="F105" s="42" t="n">
        <x:f>F104/F98</x:f>
        <x:v>0.1894736842105263</x:v>
      </x:c>
      <x:c r="G105" s="42" t="n">
        <x:f>G104/G98</x:f>
        <x:v>0.14987664473684217</x:v>
      </x:c>
      <x:c r="H105" s="42" t="n">
        <x:f>H104/H98</x:f>
        <x:v>0.14987664473684217</x:v>
      </x:c>
      <x:c r="I105" s="42" t="n">
        <x:f>I104/I98</x:f>
        <x:v>0.14987664473684217</x:v>
      </x:c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A106" s="1"/>
      <x:c r="B106" s="1"/>
      <x:c r="C106" s="1" t="str">
        <x:v>Interest expense</x:v>
      </x:c>
      <x:c r="D106" s="2" t="n">
        <x:f>SUM('Scenario 2 Costs'!D17:G17)</x:f>
        <x:v>25</x:v>
      </x:c>
      <x:c r="E106" s="2" t="n">
        <x:f>SUM('Scenario 2 Costs'!H17:K17)</x:f>
        <x:v>22</x:v>
      </x:c>
      <x:c r="F106" s="2" t="n">
        <x:f>SUM('Scenario 2 Costs'!L17:O17)</x:f>
        <x:v>20</x:v>
      </x:c>
      <x:c r="G106" s="2" t="n">
        <x:f>SUM('Scenario 2 Costs'!P17:S17)</x:f>
        <x:v>18.30985915492958</x:v>
      </x:c>
      <x:c r="H106" s="2" t="n">
        <x:f>SUM('Scenario 2 Costs'!T17:W17)</x:f>
        <x:v>15.492957746478876</x:v>
      </x:c>
      <x:c r="I106" s="2" t="n">
        <x:f>SUM('Scenario 2 Costs'!X17:AA17)</x:f>
        <x:v>12.676056338028168</x:v>
      </x:c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A107" s="1"/>
      <x:c r="B107" s="1"/>
      <x:c r="C107" s="1" t="str">
        <x:v>Earnings before tax</x:v>
      </x:c>
      <x:c r="D107" s="2" t="n">
        <x:f>SUM('Scenario 2 Costs'!D18:G18)</x:f>
        <x:v>113</x:v>
      </x:c>
      <x:c r="E107" s="2" t="n">
        <x:f>SUM('Scenario 2 Costs'!H18:K18)</x:f>
        <x:v>138</x:v>
      </x:c>
      <x:c r="F107" s="2" t="n">
        <x:f>SUM('Scenario 2 Costs'!L18:O18)</x:f>
        <x:v>160</x:v>
      </x:c>
      <x:c r="G107" s="2" t="n">
        <x:f>SUM('Scenario 2 Costs'!P18:S18)</x:f>
        <x:v>142.07014084507048</x:v>
      </x:c>
      <x:c r="H107" s="2" t="n">
        <x:f>SUM('Scenario 2 Costs'!T18:W18)</x:f>
        <x:v>159.3212422535212</x:v>
      </x:c>
      <x:c r="I107" s="2" t="n">
        <x:f>SUM('Scenario 2 Costs'!X18:AA18)</x:f>
        <x:v>176.1232796619719</x:v>
      </x:c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A108" s="1"/>
      <x:c r="B108" s="1"/>
      <x:c r="C108" s="1" t="str">
        <x:v>Tax expense</x:v>
      </x:c>
      <x:c r="D108" s="2" t="n">
        <x:f>SUM('Scenario 2 Costs'!D19:G19)</x:f>
        <x:v>28</x:v>
      </x:c>
      <x:c r="E108" s="2" t="n">
        <x:f>SUM('Scenario 2 Costs'!H19:K19)</x:f>
        <x:v>34</x:v>
      </x:c>
      <x:c r="F108" s="2" t="n">
        <x:f>SUM('Scenario 2 Costs'!L19:O19)</x:f>
        <x:v>40</x:v>
      </x:c>
      <x:c r="G108" s="2" t="n">
        <x:f>SUM('Scenario 2 Costs'!P19:S19)</x:f>
        <x:v>35.51753521126762</x:v>
      </x:c>
      <x:c r="H108" s="2" t="n">
        <x:f>SUM('Scenario 2 Costs'!T19:W19)</x:f>
        <x:v>39.8303105633803</x:v>
      </x:c>
      <x:c r="I108" s="2" t="n">
        <x:f>SUM('Scenario 2 Costs'!X19:AA19)</x:f>
        <x:v>44.03081991549298</x:v>
      </x:c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A109" s="1"/>
      <x:c r="B109" s="1"/>
      <x:c r="C109" s="27" t="str">
        <x:v>Net income</x:v>
      </x:c>
      <x:c r="D109" s="31" t="n">
        <x:f>SUM('Scenario 2 Costs'!D20:G20)</x:f>
        <x:v>85</x:v>
      </x:c>
      <x:c r="E109" s="31" t="n">
        <x:f>SUM('Scenario 2 Costs'!H20:K20)</x:f>
        <x:v>104</x:v>
      </x:c>
      <x:c r="F109" s="31" t="n">
        <x:f>SUM('Scenario 2 Costs'!L20:O20)</x:f>
        <x:v>120</x:v>
      </x:c>
      <x:c r="G109" s="31" t="n">
        <x:f>SUM('Scenario 2 Costs'!P20:S20)</x:f>
        <x:v>106.55260563380287</x:v>
      </x:c>
      <x:c r="H109" s="31" t="n">
        <x:f>SUM('Scenario 2 Costs'!T20:W20)</x:f>
        <x:v>119.49093169014091</x:v>
      </x:c>
      <x:c r="I109" s="31" t="n">
        <x:f>SUM('Scenario 2 Costs'!X20:AA20)</x:f>
        <x:v>132.09245974647894</x:v>
      </x:c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A110" s="1"/>
      <x:c r="B110" s="1"/>
      <x:c r="C110" s="41" t="str">
        <x:v>Net margin</x:v>
      </x:c>
      <x:c r="D110" s="42" t="n">
        <x:f>D109/D98</x:f>
        <x:v>0.11805555555555554</x:v>
      </x:c>
      <x:c r="E110" s="42" t="n">
        <x:f>E109/E98</x:f>
        <x:v>0.1223529411764706</x:v>
      </x:c>
      <x:c r="F110" s="42" t="n">
        <x:f>F109/F98</x:f>
        <x:v>0.12631578947368421</x:v>
      </x:c>
      <x:c r="G110" s="42" t="n">
        <x:f>G109/G98</x:f>
        <x:v>0.09957442960694797</x:v>
      </x:c>
      <x:c r="H110" s="42" t="n">
        <x:f>H109/H98</x:f>
        <x:v>0.1024453386406683</x:v>
      </x:c>
      <x:c r="I110" s="42" t="n">
        <x:f>I109/I98</x:f>
        <x:v>0.10486040407387152</x:v>
      </x:c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 ht="21" customHeight="1">
      <x:c r="A112" s="1"/>
      <x:c r="B112" s="1"/>
      <x:c r="C112" s="15" t="str">
        <x:v>Balance sheet at year-end</x:v>
      </x:c>
      <x:c r="D112" s="16"/>
      <x:c r="E112" s="16"/>
      <x:c r="F112" s="16"/>
      <x:c r="G112" s="16"/>
      <x:c r="H112" s="16"/>
      <x:c r="I112" s="16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 ht="21" customHeight="1">
      <x:c r="A113" s="1"/>
      <x:c r="B113" s="1"/>
      <x:c r="C113" s="1" t="str">
        <x:v>Cash</x:v>
      </x:c>
      <x:c r="D113" s="2" t="n">
        <x:f>'Scenario 2 Costs'!G23</x:f>
        <x:v>59.8</x:v>
      </x:c>
      <x:c r="E113" s="2" t="n">
        <x:f>'Scenario 2 Costs'!K23</x:f>
        <x:v>130.8</x:v>
      </x:c>
      <x:c r="F113" s="2" t="n">
        <x:f>'Scenario 2 Costs'!O23</x:f>
        <x:v>210.8</x:v>
      </x:c>
      <x:c r="G113" s="2" t="n">
        <x:f>'Scenario 2 Costs'!S23</x:f>
        <x:v>154.44387126718988</x:v>
      </x:c>
      <x:c r="H113" s="2" t="n">
        <x:f>'Scenario 2 Costs'!W23</x:f>
        <x:v>158.6477251976689</x:v>
      </x:c>
      <x:c r="I113" s="2" t="n">
        <x:f>'Scenario 2 Costs'!AA23</x:f>
        <x:v>179.01897539071243</x:v>
      </x:c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 ht="21" customHeight="1">
      <x:c r="A114" s="1"/>
      <x:c r="B114" s="1"/>
      <x:c r="C114" s="1" t="str">
        <x:v>Accounts receivable</x:v>
      </x:c>
      <x:c r="D114" s="2" t="n">
        <x:f>'Scenario 2 Costs'!G24</x:f>
        <x:v>110</x:v>
      </x:c>
      <x:c r="E114" s="2" t="n">
        <x:f>'Scenario 2 Costs'!K24</x:f>
        <x:v>130</x:v>
      </x:c>
      <x:c r="F114" s="2" t="n">
        <x:f>'Scenario 2 Costs'!O24</x:f>
        <x:v>150</x:v>
      </x:c>
      <x:c r="G114" s="2" t="n">
        <x:f>'Scenario 2 Costs'!S24</x:f>
        <x:v>173.13185185185185</x:v>
      </x:c>
      <x:c r="H114" s="2" t="n">
        <x:f>'Scenario 2 Costs'!W24</x:f>
        <x:v>188.7137185185185</x:v>
      </x:c>
      <x:c r="I114" s="2" t="n">
        <x:f>'Scenario 2 Costs'!AA24</x:f>
        <x:v>203.81081600000002</x:v>
      </x:c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 ht="21" customHeight="1">
      <x:c r="A115" s="1"/>
      <x:c r="B115" s="1"/>
      <x:c r="C115" s="1" t="str">
        <x:v>Inventory</x:v>
      </x:c>
      <x:c r="D115" s="2" t="n">
        <x:f>'Scenario 2 Costs'!G25</x:f>
        <x:v>150</x:v>
      </x:c>
      <x:c r="E115" s="2" t="n">
        <x:f>'Scenario 2 Costs'!K25</x:f>
        <x:v>180</x:v>
      </x:c>
      <x:c r="F115" s="2" t="n">
        <x:f>'Scenario 2 Costs'!O25</x:f>
        <x:v>200</x:v>
      </x:c>
      <x:c r="G115" s="2" t="n">
        <x:f>'Scenario 2 Costs'!S25</x:f>
        <x:v>279.08677603327965</x:v>
      </x:c>
      <x:c r="H115" s="2" t="n">
        <x:f>'Scenario 2 Costs'!W25</x:f>
        <x:v>304.20458587627485</x:v>
      </x:c>
      <x:c r="I115" s="2" t="n">
        <x:f>'Scenario 2 Costs'!AA25</x:f>
        <x:v>328.5409527463769</x:v>
      </x:c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 ht="21" customHeight="1">
      <x:c r="A116" s="1"/>
      <x:c r="B116" s="1"/>
      <x:c r="C116" s="27" t="str">
        <x:v>Total current assets</x:v>
      </x:c>
      <x:c r="D116" s="31" t="n">
        <x:f>'Scenario 2 Costs'!G26</x:f>
        <x:v>319.8</x:v>
      </x:c>
      <x:c r="E116" s="31" t="n">
        <x:f>'Scenario 2 Costs'!K26</x:f>
        <x:v>440.8</x:v>
      </x:c>
      <x:c r="F116" s="31" t="n">
        <x:f>'Scenario 2 Costs'!O26</x:f>
        <x:v>560.8</x:v>
      </x:c>
      <x:c r="G116" s="31" t="n">
        <x:f>'Scenario 2 Costs'!S26</x:f>
        <x:v>606.6624991523214</x:v>
      </x:c>
      <x:c r="H116" s="31" t="n">
        <x:f>'Scenario 2 Costs'!W26</x:f>
        <x:v>651.5660295924622</x:v>
      </x:c>
      <x:c r="I116" s="31" t="n">
        <x:f>'Scenario 2 Costs'!AA26</x:f>
        <x:v>711.3707441370893</x:v>
      </x:c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 ht="21" customHeight="1">
      <x:c r="A117" s="1"/>
      <x:c r="B117" s="1"/>
      <x:c r="C117" s="1" t="str">
        <x:v>Net property, plant and equipment</x:v>
      </x:c>
      <x:c r="D117" s="2" t="n">
        <x:f>'Scenario 2 Costs'!G27</x:f>
        <x:v>500</x:v>
      </x:c>
      <x:c r="E117" s="2" t="n">
        <x:f>'Scenario 2 Costs'!K27</x:f>
        <x:v>550</x:v>
      </x:c>
      <x:c r="F117" s="2" t="n">
        <x:f>'Scenario 2 Costs'!O27</x:f>
        <x:v>600</x:v>
      </x:c>
      <x:c r="G117" s="2" t="n">
        <x:f>'Scenario 2 Costs'!S27</x:f>
        <x:v>639.4752916666666</x:v>
      </x:c>
      <x:c r="H117" s="2" t="n">
        <x:f>'Scenario 2 Costs'!W27</x:f>
        <x:v>677.4533595833335</x:v>
      </x:c>
      <x:c r="I117" s="2" t="n">
        <x:f>'Scenario 2 Costs'!AA27</x:f>
        <x:v>712.7151729333335</x:v>
      </x:c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 ht="21" customHeight="1">
      <x:c r="A118" s="1"/>
      <x:c r="B118" s="1"/>
      <x:c r="C118" s="27" t="str">
        <x:v>Total assets</x:v>
      </x:c>
      <x:c r="D118" s="31" t="n">
        <x:f>'Scenario 2 Costs'!G28</x:f>
        <x:v>819.8</x:v>
      </x:c>
      <x:c r="E118" s="31" t="n">
        <x:f>'Scenario 2 Costs'!K28</x:f>
        <x:v>990.8</x:v>
      </x:c>
      <x:c r="F118" s="31" t="n">
        <x:f>'Scenario 2 Costs'!O28</x:f>
        <x:v>1160.8</x:v>
      </x:c>
      <x:c r="G118" s="31" t="n">
        <x:f>'Scenario 2 Costs'!S28</x:f>
        <x:v>1246.137790818988</x:v>
      </x:c>
      <x:c r="H118" s="31" t="n">
        <x:f>'Scenario 2 Costs'!W28</x:f>
        <x:v>1329.0193891757958</x:v>
      </x:c>
      <x:c r="I118" s="31" t="n">
        <x:f>'Scenario 2 Costs'!AA28</x:f>
        <x:v>1424.085917070423</x:v>
      </x:c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 ht="21" customHeight="1">
      <x:c r="A120" s="1"/>
      <x:c r="B120" s="1"/>
      <x:c r="C120" s="1" t="str">
        <x:v>Accounts payable</x:v>
      </x:c>
      <x:c r="D120" s="2" t="n">
        <x:f>'Scenario 2 Costs'!G30</x:f>
        <x:v>80</x:v>
      </x:c>
      <x:c r="E120" s="2" t="n">
        <x:f>'Scenario 2 Costs'!K30</x:f>
        <x:v>100</x:v>
      </x:c>
      <x:c r="F120" s="2" t="n">
        <x:f>'Scenario 2 Costs'!O30</x:f>
        <x:v>120</x:v>
      </x:c>
      <x:c r="G120" s="2" t="n">
        <x:f>'Scenario 2 Costs'!S30</x:f>
        <x:v>148.78518518518518</x:v>
      </x:c>
      <x:c r="H120" s="2" t="n">
        <x:f>'Scenario 2 Costs'!W30</x:f>
        <x:v>162.17585185185186</x:v>
      </x:c>
      <x:c r="I120" s="2" t="n">
        <x:f>'Scenario 2 Costs'!AA30</x:f>
        <x:v>175.14992</x:v>
      </x:c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 ht="21" customHeight="1">
      <x:c r="A121" s="1"/>
      <x:c r="B121" s="1"/>
      <x:c r="C121" s="1" t="str">
        <x:v>Current portion of debt</x:v>
      </x:c>
      <x:c r="D121" s="2" t="n">
        <x:f>'Scenario 2 Costs'!G31</x:f>
        <x:v>30</x:v>
      </x:c>
      <x:c r="E121" s="2" t="n">
        <x:f>'Scenario 2 Costs'!K31</x:f>
        <x:v>40</x:v>
      </x:c>
      <x:c r="F121" s="2" t="n">
        <x:f>'Scenario 2 Costs'!O31</x:f>
        <x:v>50</x:v>
      </x:c>
      <x:c r="G121" s="2" t="n">
        <x:f>'Scenario 2 Costs'!S31</x:f>
        <x:v>50</x:v>
      </x:c>
      <x:c r="H121" s="2" t="n">
        <x:f>'Scenario 2 Costs'!W31</x:f>
        <x:v>50</x:v>
      </x:c>
      <x:c r="I121" s="2" t="n">
        <x:f>'Scenario 2 Costs'!AA31</x:f>
        <x:v>50</x:v>
      </x:c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 ht="21" customHeight="1">
      <x:c r="A122" s="1"/>
      <x:c r="B122" s="1"/>
      <x:c r="C122" s="1" t="str">
        <x:v>Total current liabilities</x:v>
      </x:c>
      <x:c r="D122" s="2" t="n">
        <x:f>'Scenario 2 Costs'!G32</x:f>
        <x:v>110</x:v>
      </x:c>
      <x:c r="E122" s="2" t="n">
        <x:f>'Scenario 2 Costs'!K32</x:f>
        <x:v>140</x:v>
      </x:c>
      <x:c r="F122" s="2" t="n">
        <x:f>'Scenario 2 Costs'!O32</x:f>
        <x:v>170</x:v>
      </x:c>
      <x:c r="G122" s="2" t="n">
        <x:f>'Scenario 2 Costs'!S32</x:f>
        <x:v>198.78518518518518</x:v>
      </x:c>
      <x:c r="H122" s="2" t="n">
        <x:f>'Scenario 2 Costs'!W32</x:f>
        <x:v>212.17585185185186</x:v>
      </x:c>
      <x:c r="I122" s="2" t="n">
        <x:f>'Scenario 2 Costs'!AA32</x:f>
        <x:v>225.14992</x:v>
      </x:c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 ht="21" customHeight="1">
      <x:c r="A123" s="1"/>
      <x:c r="B123" s="1"/>
      <x:c r="C123" s="1" t="str">
        <x:v>Long-term debt</x:v>
      </x:c>
      <x:c r="D123" s="2" t="n">
        <x:f>'Scenario 2 Costs'!G33</x:f>
        <x:v>350</x:v>
      </x:c>
      <x:c r="E123" s="2" t="n">
        <x:f>'Scenario 2 Costs'!K33</x:f>
        <x:v>320</x:v>
      </x:c>
      <x:c r="F123" s="2" t="n">
        <x:f>'Scenario 2 Costs'!O33</x:f>
        <x:v>300</x:v>
      </x:c>
      <x:c r="G123" s="2" t="n">
        <x:f>'Scenario 2 Costs'!S33</x:f>
        <x:v>250</x:v>
      </x:c>
      <x:c r="H123" s="2" t="n">
        <x:f>'Scenario 2 Costs'!W33</x:f>
        <x:v>200</x:v>
      </x:c>
      <x:c r="I123" s="2" t="n">
        <x:f>'Scenario 2 Costs'!AA33</x:f>
        <x:v>150</x:v>
      </x:c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 ht="21" customHeight="1">
      <x:c r="A124" s="1"/>
      <x:c r="B124" s="1"/>
      <x:c r="C124" s="27" t="str">
        <x:v>Total liabilities</x:v>
      </x:c>
      <x:c r="D124" s="31" t="n">
        <x:f>'Scenario 2 Costs'!G34</x:f>
        <x:v>460</x:v>
      </x:c>
      <x:c r="E124" s="31" t="n">
        <x:f>'Scenario 2 Costs'!K34</x:f>
        <x:v>460</x:v>
      </x:c>
      <x:c r="F124" s="31" t="n">
        <x:f>'Scenario 2 Costs'!O34</x:f>
        <x:v>470</x:v>
      </x:c>
      <x:c r="G124" s="31" t="n">
        <x:f>'Scenario 2 Costs'!S34</x:f>
        <x:v>448.7851851851852</x:v>
      </x:c>
      <x:c r="H124" s="31" t="n">
        <x:f>'Scenario 2 Costs'!W34</x:f>
        <x:v>412.17585185185186</x:v>
      </x:c>
      <x:c r="I124" s="31" t="n">
        <x:f>'Scenario 2 Costs'!AA34</x:f>
        <x:v>375.14992</x:v>
      </x:c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 ht="21" customHeight="1">
      <x:c r="A125" s="1"/>
      <x:c r="B125" s="1"/>
      <x:c r="C125" s="1" t="str">
        <x:v>Common stock</x:v>
      </x:c>
      <x:c r="D125" s="2" t="n">
        <x:f>'Scenario 2 Costs'!G35</x:f>
        <x:v>158</x:v>
      </x:c>
      <x:c r="E125" s="2" t="n">
        <x:f>'Scenario 2 Costs'!K35</x:f>
        <x:v>225</x:v>
      </x:c>
      <x:c r="F125" s="2" t="n">
        <x:f>'Scenario 2 Costs'!O35</x:f>
        <x:v>265</x:v>
      </x:c>
      <x:c r="G125" s="2" t="n">
        <x:f>'Scenario 2 Costs'!S35</x:f>
        <x:v>265</x:v>
      </x:c>
      <x:c r="H125" s="2" t="n">
        <x:f>'Scenario 2 Costs'!W35</x:f>
        <x:v>265</x:v>
      </x:c>
      <x:c r="I125" s="2" t="n">
        <x:f>'Scenario 2 Costs'!AA35</x:f>
        <x:v>265</x:v>
      </x:c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 ht="21" customHeight="1">
      <x:c r="A126" s="1"/>
      <x:c r="B126" s="1"/>
      <x:c r="C126" s="1" t="str">
        <x:v>Retained earnings</x:v>
      </x:c>
      <x:c r="D126" s="2" t="n">
        <x:f>'Scenario 2 Costs'!G36</x:f>
        <x:v>202</x:v>
      </x:c>
      <x:c r="E126" s="2" t="n">
        <x:f>'Scenario 2 Costs'!K36</x:f>
        <x:v>306</x:v>
      </x:c>
      <x:c r="F126" s="2" t="n">
        <x:f>'Scenario 2 Costs'!O36</x:f>
        <x:v>426</x:v>
      </x:c>
      <x:c r="G126" s="2" t="n">
        <x:f>'Scenario 2 Costs'!S36</x:f>
        <x:v>532.5526056338028</x:v>
      </x:c>
      <x:c r="H126" s="2" t="n">
        <x:f>'Scenario 2 Costs'!W36</x:f>
        <x:v>652.0435373239437</x:v>
      </x:c>
      <x:c r="I126" s="2" t="n">
        <x:f>'Scenario 2 Costs'!AA36</x:f>
        <x:v>784.1359970704227</x:v>
      </x:c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 ht="21" customHeight="1">
      <x:c r="A127" s="1"/>
      <x:c r="B127" s="1"/>
      <x:c r="C127" s="1" t="str">
        <x:v>Unresolved opening equity difference</x:v>
      </x:c>
      <x:c r="D127" s="2" t="n">
        <x:f>'Scenario 2 Costs'!G37</x:f>
        <x:v>-0.2</x:v>
      </x:c>
      <x:c r="E127" s="2" t="n">
        <x:f>'Scenario 2 Costs'!K37</x:f>
        <x:v>-0.2</x:v>
      </x:c>
      <x:c r="F127" s="2" t="n">
        <x:f>'Scenario 2 Costs'!O37</x:f>
        <x:v>-0.2</x:v>
      </x:c>
      <x:c r="G127" s="2" t="n">
        <x:f>'Scenario 2 Costs'!S37</x:f>
        <x:v>-0.2</x:v>
      </x:c>
      <x:c r="H127" s="2" t="n">
        <x:f>'Scenario 2 Costs'!W37</x:f>
        <x:v>-0.2</x:v>
      </x:c>
      <x:c r="I127" s="2" t="n">
        <x:f>'Scenario 2 Costs'!AA37</x:f>
        <x:v>-0.2</x:v>
      </x:c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 ht="21" customHeight="1">
      <x:c r="A128" s="1"/>
      <x:c r="B128" s="1"/>
      <x:c r="C128" s="27" t="str">
        <x:v>Total liabilities and equity</x:v>
      </x:c>
      <x:c r="D128" s="31" t="n">
        <x:f>'Scenario 2 Costs'!G38</x:f>
        <x:v>819.8</x:v>
      </x:c>
      <x:c r="E128" s="31" t="n">
        <x:f>'Scenario 2 Costs'!K38</x:f>
        <x:v>990.8</x:v>
      </x:c>
      <x:c r="F128" s="31" t="n">
        <x:f>'Scenario 2 Costs'!O38</x:f>
        <x:v>1160.8</x:v>
      </x:c>
      <x:c r="G128" s="31" t="n">
        <x:f>'Scenario 2 Costs'!S38</x:f>
        <x:v>1246.137790818988</x:v>
      </x:c>
      <x:c r="H128" s="31" t="n">
        <x:f>'Scenario 2 Costs'!W38</x:f>
        <x:v>1329.0193891757956</x:v>
      </x:c>
      <x:c r="I128" s="31" t="n">
        <x:f>'Scenario 2 Costs'!AA38</x:f>
        <x:v>1424.0859170704227</x:v>
      </x:c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 ht="21" customHeight="1">
      <x:c r="A130" s="1"/>
      <x:c r="B130" s="1"/>
      <x:c r="C130" s="15" t="str">
        <x:v>Cash flow statement</x:v>
      </x:c>
      <x:c r="D130" s="16"/>
      <x:c r="E130" s="16"/>
      <x:c r="F130" s="16"/>
      <x:c r="G130" s="16"/>
      <x:c r="H130" s="16"/>
      <x:c r="I130" s="16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 ht="21" customHeight="1">
      <x:c r="A131" s="1"/>
      <x:c r="B131" s="1"/>
      <x:c r="C131" s="1" t="str">
        <x:v>Net income</x:v>
      </x:c>
      <x:c r="D131" s="2" t="n">
        <x:f>SUM('Scenario 2 Costs'!D41:G41)</x:f>
        <x:v>85</x:v>
      </x:c>
      <x:c r="E131" s="2" t="n">
        <x:f>SUM('Scenario 2 Costs'!H41:K41)</x:f>
        <x:v>104</x:v>
      </x:c>
      <x:c r="F131" s="2" t="n">
        <x:f>SUM('Scenario 2 Costs'!L41:O41)</x:f>
        <x:v>120</x:v>
      </x:c>
      <x:c r="G131" s="2" t="n">
        <x:f>SUM('Scenario 2 Costs'!P41:S41)</x:f>
        <x:v>106.55260563380287</x:v>
      </x:c>
      <x:c r="H131" s="2" t="n">
        <x:f>SUM('Scenario 2 Costs'!T41:W41)</x:f>
        <x:v>119.49093169014091</x:v>
      </x:c>
      <x:c r="I131" s="2" t="n">
        <x:f>SUM('Scenario 2 Costs'!X41:AA41)</x:f>
        <x:v>132.09245974647894</x:v>
      </x:c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 ht="21" customHeight="1">
      <x:c r="A132" s="1"/>
      <x:c r="B132" s="1"/>
      <x:c r="C132" s="1" t="str">
        <x:v>Reported / modelled noncash add-back</x:v>
      </x:c>
      <x:c r="D132" s="2" t="n">
        <x:f>SUM('Scenario 2 Costs'!D42:G42)</x:f>
        <x:v>0</x:v>
      </x:c>
      <x:c r="E132" s="2" t="n">
        <x:f>SUM('Scenario 2 Costs'!H42:K42)</x:f>
        <x:v>0</x:v>
      </x:c>
      <x:c r="F132" s="2" t="n">
        <x:f>SUM('Scenario 2 Costs'!L42:O42)</x:f>
        <x:v>0</x:v>
      </x:c>
      <x:c r="G132" s="2" t="n">
        <x:f>SUM('Scenario 2 Costs'!P42:S42)</x:f>
        <x:v>65.02470833333334</x:v>
      </x:c>
      <x:c r="H132" s="2" t="n">
        <x:f>SUM('Scenario 2 Costs'!T42:W42)</x:f>
        <x:v>75.92693208333334</x:v>
      </x:c>
      <x:c r="I132" s="2" t="n">
        <x:f>SUM('Scenario 2 Costs'!X42:AA42)</x:f>
        <x:v>87.75558665000001</x:v>
      </x:c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 ht="21" customHeight="1">
      <x:c r="A133" s="1"/>
      <x:c r="B133" s="1"/>
      <x:c r="C133" s="1" t="str">
        <x:v>Cash effect of receivables</x:v>
      </x:c>
      <x:c r="D133" s="2" t="n">
        <x:f>SUM('Scenario 2 Costs'!D43:G43)</x:f>
        <x:v>-18</x:v>
      </x:c>
      <x:c r="E133" s="2" t="n">
        <x:f>SUM('Scenario 2 Costs'!H43:K43)</x:f>
        <x:v>-20</x:v>
      </x:c>
      <x:c r="F133" s="2" t="n">
        <x:f>SUM('Scenario 2 Costs'!L43:O43)</x:f>
        <x:v>-20</x:v>
      </x:c>
      <x:c r="G133" s="2" t="n">
        <x:f>SUM('Scenario 2 Costs'!P43:S43)</x:f>
        <x:v>-23.13185185185185</x:v>
      </x:c>
      <x:c r="H133" s="2" t="n">
        <x:f>SUM('Scenario 2 Costs'!T43:W43)</x:f>
        <x:v>-15.581866666666656</x:v>
      </x:c>
      <x:c r="I133" s="2" t="n">
        <x:f>SUM('Scenario 2 Costs'!X43:AA43)</x:f>
        <x:v>-15.097097481481512</x:v>
      </x:c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 ht="21" customHeight="1">
      <x:c r="A134" s="1"/>
      <x:c r="B134" s="1"/>
      <x:c r="C134" s="1" t="str">
        <x:v>Cash effect of inventory</x:v>
      </x:c>
      <x:c r="D134" s="2" t="n">
        <x:f>SUM('Scenario 2 Costs'!D44:G44)</x:f>
        <x:v>-30</x:v>
      </x:c>
      <x:c r="E134" s="2" t="n">
        <x:f>SUM('Scenario 2 Costs'!H44:K44)</x:f>
        <x:v>-30</x:v>
      </x:c>
      <x:c r="F134" s="2" t="n">
        <x:f>SUM('Scenario 2 Costs'!L44:O44)</x:f>
        <x:v>-20</x:v>
      </x:c>
      <x:c r="G134" s="2" t="n">
        <x:f>SUM('Scenario 2 Costs'!P44:S44)</x:f>
        <x:v>-79.08677603327965</x:v>
      </x:c>
      <x:c r="H134" s="2" t="n">
        <x:f>SUM('Scenario 2 Costs'!T44:W44)</x:f>
        <x:v>-25.1178098429952</x:v>
      </x:c>
      <x:c r="I134" s="2" t="n">
        <x:f>SUM('Scenario 2 Costs'!X44:AA44)</x:f>
        <x:v>-24.33636687010204</x:v>
      </x:c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 ht="21" customHeight="1">
      <x:c r="A135" s="1"/>
      <x:c r="B135" s="1"/>
      <x:c r="C135" s="1" t="str">
        <x:v>Cash effect of payables</x:v>
      </x:c>
      <x:c r="D135" s="2" t="n">
        <x:f>SUM('Scenario 2 Costs'!D45:G45)</x:f>
        <x:v>28.000000000000004</x:v>
      </x:c>
      <x:c r="E135" s="2" t="n">
        <x:f>SUM('Scenario 2 Costs'!H45:K45)</x:f>
        <x:v>20</x:v>
      </x:c>
      <x:c r="F135" s="2" t="n">
        <x:f>SUM('Scenario 2 Costs'!L45:O45)</x:f>
        <x:v>20</x:v>
      </x:c>
      <x:c r="G135" s="2" t="n">
        <x:f>SUM('Scenario 2 Costs'!P45:S45)</x:f>
        <x:v>28.785185185185185</x:v>
      </x:c>
      <x:c r="H135" s="2" t="n">
        <x:f>SUM('Scenario 2 Costs'!T45:W45)</x:f>
        <x:v>13.390666666666675</x:v>
      </x:c>
      <x:c r="I135" s="2" t="n">
        <x:f>SUM('Scenario 2 Costs'!X45:AA45)</x:f>
        <x:v>12.974068148148149</x:v>
      </x:c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 ht="21" customHeight="1">
      <x:c r="A136" s="1"/>
      <x:c r="B136" s="1"/>
      <x:c r="C136" s="27" t="str">
        <x:v>Cash from operations</x:v>
      </x:c>
      <x:c r="D136" s="31" t="n">
        <x:f>SUM('Scenario 2 Costs'!D46:G46)</x:f>
        <x:v>65</x:v>
      </x:c>
      <x:c r="E136" s="31" t="n">
        <x:f>SUM('Scenario 2 Costs'!H46:K46)</x:f>
        <x:v>74</x:v>
      </x:c>
      <x:c r="F136" s="31" t="n">
        <x:f>SUM('Scenario 2 Costs'!L46:O46)</x:f>
        <x:v>99.99999999999999</x:v>
      </x:c>
      <x:c r="G136" s="31" t="n">
        <x:f>SUM('Scenario 2 Costs'!P46:S46)</x:f>
        <x:v>98.1438712671899</x:v>
      </x:c>
      <x:c r="H136" s="31" t="n">
        <x:f>SUM('Scenario 2 Costs'!T46:W46)</x:f>
        <x:v>168.10885393047903</x:v>
      </x:c>
      <x:c r="I136" s="31" t="n">
        <x:f>SUM('Scenario 2 Costs'!X46:AA46)</x:f>
        <x:v>193.38865019304353</x:v>
      </x:c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 ht="21" customHeight="1">
      <x:c r="A137" s="1"/>
      <x:c r="B137" s="1"/>
      <x:c r="C137" s="1" t="str">
        <x:v>Net PP&amp;E investing cash flow</x:v>
      </x:c>
      <x:c r="D137" s="2" t="n">
        <x:f>SUM('Scenario 2 Costs'!D47:G47)</x:f>
        <x:v>-80</x:v>
      </x:c>
      <x:c r="E137" s="2" t="n">
        <x:f>SUM('Scenario 2 Costs'!H47:K47)</x:f>
        <x:v>-50</x:v>
      </x:c>
      <x:c r="F137" s="2" t="n">
        <x:f>SUM('Scenario 2 Costs'!L47:O47)</x:f>
        <x:v>-50</x:v>
      </x:c>
      <x:c r="G137" s="2" t="n">
        <x:f>SUM('Scenario 2 Costs'!P47:S47)</x:f>
        <x:v>-104.5</x:v>
      </x:c>
      <x:c r="H137" s="2" t="n">
        <x:f>SUM('Scenario 2 Costs'!T47:W47)</x:f>
        <x:v>-113.90500000000002</x:v>
      </x:c>
      <x:c r="I137" s="2" t="n">
        <x:f>SUM('Scenario 2 Costs'!X47:AA47)</x:f>
        <x:v>-123.01740000000001</x:v>
      </x:c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 ht="21" customHeight="1">
      <x:c r="A138" s="1"/>
      <x:c r="B138" s="1"/>
      <x:c r="C138" s="27" t="str">
        <x:v>Cash from investing</x:v>
      </x:c>
      <x:c r="D138" s="31" t="n">
        <x:f>SUM('Scenario 2 Costs'!D48:G48)</x:f>
        <x:v>-80</x:v>
      </x:c>
      <x:c r="E138" s="31" t="n">
        <x:f>SUM('Scenario 2 Costs'!H48:K48)</x:f>
        <x:v>-50</x:v>
      </x:c>
      <x:c r="F138" s="31" t="n">
        <x:f>SUM('Scenario 2 Costs'!L48:O48)</x:f>
        <x:v>-50</x:v>
      </x:c>
      <x:c r="G138" s="31" t="n">
        <x:f>SUM('Scenario 2 Costs'!P48:S48)</x:f>
        <x:v>-104.5</x:v>
      </x:c>
      <x:c r="H138" s="31" t="n">
        <x:f>SUM('Scenario 2 Costs'!T48:W48)</x:f>
        <x:v>-113.90500000000002</x:v>
      </x:c>
      <x:c r="I138" s="31" t="n">
        <x:f>SUM('Scenario 2 Costs'!X48:AA48)</x:f>
        <x:v>-123.01740000000001</x:v>
      </x:c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 ht="21" customHeight="1">
      <x:c r="A139" s="1"/>
      <x:c r="B139" s="1"/>
      <x:c r="C139" s="1" t="str">
        <x:v>Net cash borrowing / repayment</x:v>
      </x:c>
      <x:c r="D139" s="2" t="n">
        <x:f>SUM('Scenario 2 Costs'!D49:G49)</x:f>
        <x:v>-5</x:v>
      </x:c>
      <x:c r="E139" s="2" t="n">
        <x:f>SUM('Scenario 2 Costs'!H49:K49)</x:f>
        <x:v>-20</x:v>
      </x:c>
      <x:c r="F139" s="2" t="n">
        <x:f>SUM('Scenario 2 Costs'!L49:O49)</x:f>
        <x:v>-10</x:v>
      </x:c>
      <x:c r="G139" s="2" t="n">
        <x:f>SUM('Scenario 2 Costs'!P49:S49)</x:f>
        <x:v>-50</x:v>
      </x:c>
      <x:c r="H139" s="2" t="n">
        <x:f>SUM('Scenario 2 Costs'!T49:W49)</x:f>
        <x:v>-50</x:v>
      </x:c>
      <x:c r="I139" s="2" t="n">
        <x:f>SUM('Scenario 2 Costs'!X49:AA49)</x:f>
        <x:v>-50</x:v>
      </x:c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 ht="21" customHeight="1">
      <x:c r="A140" s="1"/>
      <x:c r="B140" s="1"/>
      <x:c r="C140" s="1" t="str">
        <x:v>Net cash equity financing</x:v>
      </x:c>
      <x:c r="D140" s="2" t="n">
        <x:f>SUM('Scenario 2 Costs'!D50:G50)</x:f>
        <x:v>58</x:v>
      </x:c>
      <x:c r="E140" s="2" t="n">
        <x:f>SUM('Scenario 2 Costs'!H50:K50)</x:f>
        <x:v>67</x:v>
      </x:c>
      <x:c r="F140" s="2" t="n">
        <x:f>SUM('Scenario 2 Costs'!L50:O50)</x:f>
        <x:v>40</x:v>
      </x:c>
      <x:c r="G140" s="2" t="n">
        <x:f>SUM('Scenario 2 Costs'!P50:S50)</x:f>
        <x:v>0</x:v>
      </x:c>
      <x:c r="H140" s="2" t="n">
        <x:f>SUM('Scenario 2 Costs'!T50:W50)</x:f>
        <x:v>0</x:v>
      </x:c>
      <x:c r="I140" s="2" t="n">
        <x:f>SUM('Scenario 2 Costs'!X50:AA50)</x:f>
        <x:v>0</x:v>
      </x:c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 ht="21" customHeight="1">
      <x:c r="A141" s="1"/>
      <x:c r="B141" s="1"/>
      <x:c r="C141" s="1" t="str">
        <x:v>Cash dividends paid</x:v>
      </x:c>
      <x:c r="D141" s="2" t="n">
        <x:f>SUM('Scenario 2 Costs'!D51:G51)</x:f>
        <x:v>0</x:v>
      </x:c>
      <x:c r="E141" s="2" t="n">
        <x:f>SUM('Scenario 2 Costs'!H51:K51)</x:f>
        <x:v>0</x:v>
      </x:c>
      <x:c r="F141" s="2" t="n">
        <x:f>SUM('Scenario 2 Costs'!L51:O51)</x:f>
        <x:v>0</x:v>
      </x:c>
      <x:c r="G141" s="2" t="n">
        <x:f>SUM('Scenario 2 Costs'!P51:S51)</x:f>
        <x:v>0</x:v>
      </x:c>
      <x:c r="H141" s="2" t="n">
        <x:f>SUM('Scenario 2 Costs'!T51:W51)</x:f>
        <x:v>0</x:v>
      </x:c>
      <x:c r="I141" s="2" t="n">
        <x:f>SUM('Scenario 2 Costs'!X51:AA51)</x:f>
        <x:v>0</x:v>
      </x:c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 ht="21" customHeight="1">
      <x:c r="A142" s="1"/>
      <x:c r="B142" s="1"/>
      <x:c r="C142" s="27" t="str">
        <x:v>Cash from financing</x:v>
      </x:c>
      <x:c r="D142" s="31" t="n">
        <x:f>SUM('Scenario 2 Costs'!D52:G52)</x:f>
        <x:v>53</x:v>
      </x:c>
      <x:c r="E142" s="31" t="n">
        <x:f>SUM('Scenario 2 Costs'!H52:K52)</x:f>
        <x:v>47</x:v>
      </x:c>
      <x:c r="F142" s="31" t="n">
        <x:f>SUM('Scenario 2 Costs'!L52:O52)</x:f>
        <x:v>30</x:v>
      </x:c>
      <x:c r="G142" s="31" t="n">
        <x:f>SUM('Scenario 2 Costs'!P52:S52)</x:f>
        <x:v>-50</x:v>
      </x:c>
      <x:c r="H142" s="31" t="n">
        <x:f>SUM('Scenario 2 Costs'!T52:W52)</x:f>
        <x:v>-50</x:v>
      </x:c>
      <x:c r="I142" s="31" t="n">
        <x:f>SUM('Scenario 2 Costs'!X52:AA52)</x:f>
        <x:v>-50</x:v>
      </x:c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 ht="21" customHeight="1">
      <x:c r="A143" s="1"/>
      <x:c r="B143" s="1"/>
      <x:c r="C143" s="27" t="str">
        <x:v>Change in cash</x:v>
      </x:c>
      <x:c r="D143" s="31" t="n">
        <x:f>SUM('Scenario 2 Costs'!D53:G53)</x:f>
        <x:v>38</x:v>
      </x:c>
      <x:c r="E143" s="31" t="n">
        <x:f>SUM('Scenario 2 Costs'!H53:K53)</x:f>
        <x:v>70.99999999999999</x:v>
      </x:c>
      <x:c r="F143" s="31" t="n">
        <x:f>SUM('Scenario 2 Costs'!L53:O53)</x:f>
        <x:v>80</x:v>
      </x:c>
      <x:c r="G143" s="31" t="n">
        <x:f>SUM('Scenario 2 Costs'!P53:S53)</x:f>
        <x:v>-56.35612873281012</x:v>
      </x:c>
      <x:c r="H143" s="31" t="n">
        <x:f>SUM('Scenario 2 Costs'!T53:W53)</x:f>
        <x:v>4.203853930479021</x:v>
      </x:c>
      <x:c r="I143" s="31" t="n">
        <x:f>SUM('Scenario 2 Costs'!X53:AA53)</x:f>
        <x:v>20.371250193043515</x:v>
      </x:c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 ht="21" customHeight="1">
      <x:c r="A144" s="1"/>
      <x:c r="B144" s="1"/>
      <x:c r="C144" s="1" t="str">
        <x:v>Opening cash</x:v>
      </x:c>
      <x:c r="D144" s="2" t="n">
        <x:f>'Scenario 2 Costs'!D54</x:f>
        <x:v>21.8</x:v>
      </x:c>
      <x:c r="E144" s="2" t="n">
        <x:f>'Scenario 2 Costs'!H54</x:f>
        <x:v>59.8</x:v>
      </x:c>
      <x:c r="F144" s="2" t="n">
        <x:f>'Scenario 2 Costs'!L54</x:f>
        <x:v>130.8</x:v>
      </x:c>
      <x:c r="G144" s="2" t="n">
        <x:f>'Scenario 2 Costs'!P54</x:f>
        <x:v>210.8</x:v>
      </x:c>
      <x:c r="H144" s="2" t="n">
        <x:f>'Scenario 2 Costs'!T54</x:f>
        <x:v>154.44387126718988</x:v>
      </x:c>
      <x:c r="I144" s="2" t="n">
        <x:f>'Scenario 2 Costs'!X54</x:f>
        <x:v>158.6477251976689</x:v>
      </x:c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 ht="21" customHeight="1">
      <x:c r="A145" s="1"/>
      <x:c r="B145" s="1"/>
      <x:c r="C145" s="27" t="str">
        <x:v>Closing cash</x:v>
      </x:c>
      <x:c r="D145" s="31" t="n">
        <x:f>'Scenario 2 Costs'!G55</x:f>
        <x:v>59.8</x:v>
      </x:c>
      <x:c r="E145" s="31" t="n">
        <x:f>'Scenario 2 Costs'!K55</x:f>
        <x:v>130.8</x:v>
      </x:c>
      <x:c r="F145" s="31" t="n">
        <x:f>'Scenario 2 Costs'!O55</x:f>
        <x:v>210.8</x:v>
      </x:c>
      <x:c r="G145" s="31" t="n">
        <x:f>'Scenario 2 Costs'!S55</x:f>
        <x:v>154.44387126718988</x:v>
      </x:c>
      <x:c r="H145" s="31" t="n">
        <x:f>'Scenario 2 Costs'!W55</x:f>
        <x:v>158.6477251976689</x:v>
      </x:c>
      <x:c r="I145" s="31" t="n">
        <x:f>'Scenario 2 Costs'!AA55</x:f>
        <x:v>179.01897539071243</x:v>
      </x:c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 ht="21" customHeight="1">
      <x:c r="A147" s="1"/>
      <x:c r="B147" s="1"/>
      <x:c r="C147" s="15" t="str">
        <x:v>Financing and investment</x:v>
      </x:c>
      <x:c r="D147" s="16"/>
      <x:c r="E147" s="16"/>
      <x:c r="F147" s="16"/>
      <x:c r="G147" s="16"/>
      <x:c r="H147" s="16"/>
      <x:c r="I147" s="16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 ht="21" customHeight="1">
      <x:c r="A148" s="1"/>
      <x:c r="B148" s="1"/>
      <x:c r="C148" s="27" t="str">
        <x:v>Total interest-bearing debt</x:v>
      </x:c>
      <x:c r="D148" s="31" t="n">
        <x:f>D121+D123</x:f>
        <x:v>380</x:v>
      </x:c>
      <x:c r="E148" s="31" t="n">
        <x:f>E121+E123</x:f>
        <x:v>360</x:v>
      </x:c>
      <x:c r="F148" s="31" t="n">
        <x:f>F121+F123</x:f>
        <x:v>350</x:v>
      </x:c>
      <x:c r="G148" s="31" t="n">
        <x:f>G121+G123</x:f>
        <x:v>300</x:v>
      </x:c>
      <x:c r="H148" s="31" t="n">
        <x:f>H121+H123</x:f>
        <x:v>250</x:v>
      </x:c>
      <x:c r="I148" s="31" t="n">
        <x:f>I121+I123</x:f>
        <x:v>200</x:v>
      </x:c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 ht="21" customHeight="1">
      <x:c r="A149" s="1"/>
      <x:c r="B149" s="1"/>
      <x:c r="C149" s="27" t="str">
        <x:v>Net debt / (net cash)</x:v>
      </x:c>
      <x:c r="D149" s="31" t="n">
        <x:f>D148-D113</x:f>
        <x:v>320.2</x:v>
      </x:c>
      <x:c r="E149" s="31" t="n">
        <x:f>E148-E113</x:f>
        <x:v>229.2</x:v>
      </x:c>
      <x:c r="F149" s="31" t="n">
        <x:f>F148-F113</x:f>
        <x:v>139.2</x:v>
      </x:c>
      <x:c r="G149" s="31" t="n">
        <x:f>G148-G113</x:f>
        <x:v>145.55612873281012</x:v>
      </x:c>
      <x:c r="H149" s="31" t="n">
        <x:f>H148-H113</x:f>
        <x:v>91.3522748023311</x:v>
      </x:c>
      <x:c r="I149" s="31" t="n">
        <x:f>I148-I113</x:f>
        <x:v>20.981024609287573</x:v>
      </x:c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 ht="21" customHeight="1">
      <x:c r="A150" s="1"/>
      <x:c r="B150" s="1"/>
      <x:c r="C150" s="1" t="str">
        <x:v>Operating income / interest</x:v>
      </x:c>
      <x:c r="D150" s="43" t="n">
        <x:f>D104/D106</x:f>
        <x:v>5.52</x:v>
      </x:c>
      <x:c r="E150" s="43" t="n">
        <x:f>E104/E106</x:f>
        <x:v>7.2727272727272725</x:v>
      </x:c>
      <x:c r="F150" s="43" t="n">
        <x:f>F104/F106</x:f>
        <x:v>8.999999999999998</x:v>
      </x:c>
      <x:c r="G150" s="43" t="n">
        <x:f>G104/G106</x:f>
        <x:v>8.759215384615386</x:v>
      </x:c>
      <x:c r="H150" s="43" t="n">
        <x:f>H104/H106</x:f>
        <x:v>11.283462000000004</x:v>
      </x:c>
      <x:c r="I150" s="43" t="n">
        <x:f>I104/I106</x:f>
        <x:v>14.894169840000009</x:v>
      </x:c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 ht="21" customHeight="1">
      <x:c r="A151" s="1"/>
      <x:c r="B151" s="1"/>
      <x:c r="C151" s="1" t="str">
        <x:v>Capital expenditure</x:v>
      </x:c>
      <x:c r="D151" s="2" t="str">
        <x:v>n.a.</x:v>
      </x:c>
      <x:c r="E151" s="2" t="str">
        <x:v>n.a.</x:v>
      </x:c>
      <x:c r="F151" s="2" t="str">
        <x:v>n.a.</x:v>
      </x:c>
      <x:c r="G151" s="2" t="n">
        <x:f>SUM('Scenario 2 Costs'!P59:S59)</x:f>
        <x:v>104.5</x:v>
      </x:c>
      <x:c r="H151" s="2" t="n">
        <x:f>SUM('Scenario 2 Costs'!T59:W59)</x:f>
        <x:v>113.90500000000002</x:v>
      </x:c>
      <x:c r="I151" s="2" t="n">
        <x:f>SUM('Scenario 2 Costs'!X59:AA59)</x:f>
        <x:v>123.01740000000001</x:v>
      </x:c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 ht="21" customHeight="1">
      <x:c r="A152" s="1"/>
      <x:c r="B152" s="1"/>
      <x:c r="C152" s="1" t="str">
        <x:v>Depreciation expense</x:v>
      </x:c>
      <x:c r="D152" s="2" t="str">
        <x:v>n.a.</x:v>
      </x:c>
      <x:c r="E152" s="2" t="str">
        <x:v>n.a.</x:v>
      </x:c>
      <x:c r="F152" s="2" t="str">
        <x:v>n.a.</x:v>
      </x:c>
      <x:c r="G152" s="2" t="n">
        <x:f>SUM('Scenario 2 Costs'!P15:S15)</x:f>
        <x:v>65.02470833333334</x:v>
      </x:c>
      <x:c r="H152" s="2" t="n">
        <x:f>SUM('Scenario 2 Costs'!T15:W15)</x:f>
        <x:v>75.92693208333334</x:v>
      </x:c>
      <x:c r="I152" s="2" t="n">
        <x:f>SUM('Scenario 2 Costs'!X15:AA15)</x:f>
        <x:v>87.75558665000001</x:v>
      </x:c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 ht="21" customHeight="1">
      <x:c r="A153" s="1"/>
      <x:c r="B153" s="1"/>
      <x:c r="C153" s="1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 ht="21" customHeight="1">
      <x:c r="A154" s="1"/>
      <x:c r="B154" s="1"/>
      <x:c r="C154" s="1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 ht="21" customHeight="1">
      <x:c r="A155" s="1"/>
      <x:c r="B155" s="1"/>
      <x:c r="C155" s="1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1E9DB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3" hidden="0" customWidth="1"/>
    <x:col min="2" max="2" width="3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 t="str">
        <x:v>Source: user-supplied AcmeSolar_MachineReadable(3).csv; values in USD millions per case narrative.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3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6" t="str">
        <x:v>Financial Statement</x:v>
      </x:c>
      <x:c r="B3" s="6" t="str">
        <x:v>Account</x:v>
      </x:c>
      <x:c r="C3" s="6" t="str">
        <x:v>Q1 2021</x:v>
      </x:c>
      <x:c r="D3" s="6" t="str">
        <x:v>Q2 2021</x:v>
      </x:c>
      <x:c r="E3" s="6" t="str">
        <x:v>Q32021</x:v>
      </x:c>
      <x:c r="F3" s="6" t="str">
        <x:v>Q4 2021</x:v>
      </x:c>
      <x:c r="G3" s="6" t="str">
        <x:v>Q1 2022</x:v>
      </x:c>
      <x:c r="H3" s="6" t="str">
        <x:v>Q2 2022</x:v>
      </x:c>
      <x:c r="I3" s="6" t="str">
        <x:v>Q3 2022</x:v>
      </x:c>
      <x:c r="J3" s="6" t="str">
        <x:v>Q4 2022</x:v>
      </x:c>
      <x:c r="K3" s="6" t="str">
        <x:v>Q1 2023</x:v>
      </x:c>
      <x:c r="L3" s="6" t="str">
        <x:v>Q2 2023</x:v>
      </x:c>
      <x:c r="M3" s="6" t="str">
        <x:v>Q3 2023</x:v>
      </x:c>
      <x:c r="N3" s="6" t="str">
        <x:v>Q4 2023</x:v>
      </x:c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 ht="21" customHeight="1">
      <x:c r="A4" s="1" t="str">
        <x:v>Income Statement</x:v>
      </x:c>
      <x:c r="B4" s="1" t="str">
        <x:v>Revenue</x:v>
      </x:c>
      <x:c r="C4" s="4" t="n">
        <x:v>172.8</x:v>
      </x:c>
      <x:c r="D4" s="4" t="n">
        <x:v>158.4</x:v>
      </x:c>
      <x:c r="E4" s="4" t="n">
        <x:v>187.2</x:v>
      </x:c>
      <x:c r="F4" s="4" t="n">
        <x:v>201.6</x:v>
      </x:c>
      <x:c r="G4" s="4" t="n">
        <x:v>195.5</x:v>
      </x:c>
      <x:c r="H4" s="4" t="n">
        <x:v>195.5</x:v>
      </x:c>
      <x:c r="I4" s="4" t="n">
        <x:v>221</x:v>
      </x:c>
      <x:c r="J4" s="4" t="n">
        <x:v>238</x:v>
      </x:c>
      <x:c r="K4" s="4" t="n">
        <x:v>228</x:v>
      </x:c>
      <x:c r="L4" s="4" t="n">
        <x:v>218.5</x:v>
      </x:c>
      <x:c r="M4" s="4" t="n">
        <x:v>247</x:v>
      </x:c>
      <x:c r="N4" s="4" t="n">
        <x:v>256.5</x:v>
      </x:c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21" customHeight="1">
      <x:c r="A5" s="1" t="str">
        <x:v>Income Statement</x:v>
      </x:c>
      <x:c r="B5" s="1" t="str">
        <x:v>Cost of Goods Sold</x:v>
      </x:c>
      <x:c r="C5" s="4" t="n">
        <x:v>103.68</x:v>
      </x:c>
      <x:c r="D5" s="4" t="n">
        <x:v>95.04</x:v>
      </x:c>
      <x:c r="E5" s="4" t="n">
        <x:v>112.32</x:v>
      </x:c>
      <x:c r="F5" s="4" t="n">
        <x:v>120.96</x:v>
      </x:c>
      <x:c r="G5" s="4" t="n">
        <x:v>117.3</x:v>
      </x:c>
      <x:c r="H5" s="4" t="n">
        <x:v>117.3</x:v>
      </x:c>
      <x:c r="I5" s="4" t="n">
        <x:v>132.6</x:v>
      </x:c>
      <x:c r="J5" s="4" t="n">
        <x:v>142.8</x:v>
      </x:c>
      <x:c r="K5" s="4" t="n">
        <x:v>136.8</x:v>
      </x:c>
      <x:c r="L5" s="4" t="n">
        <x:v>131.1</x:v>
      </x:c>
      <x:c r="M5" s="4" t="n">
        <x:v>148.2</x:v>
      </x:c>
      <x:c r="N5" s="4" t="n">
        <x:v>153.9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21" customHeight="1">
      <x:c r="A6" s="1" t="str">
        <x:v>Income Statement</x:v>
      </x:c>
      <x:c r="B6" s="1" t="str">
        <x:v>Gross Profit</x:v>
      </x:c>
      <x:c r="C6" s="4" t="n">
        <x:v>69.12</x:v>
      </x:c>
      <x:c r="D6" s="4" t="n">
        <x:v>63.36</x:v>
      </x:c>
      <x:c r="E6" s="4" t="n">
        <x:v>74.88</x:v>
      </x:c>
      <x:c r="F6" s="4" t="n">
        <x:v>80.64</x:v>
      </x:c>
      <x:c r="G6" s="4" t="n">
        <x:v>78.2</x:v>
      </x:c>
      <x:c r="H6" s="4" t="n">
        <x:v>78.2</x:v>
      </x:c>
      <x:c r="I6" s="4" t="n">
        <x:v>88.4</x:v>
      </x:c>
      <x:c r="J6" s="4" t="n">
        <x:v>95.2</x:v>
      </x:c>
      <x:c r="K6" s="4" t="n">
        <x:v>91.2</x:v>
      </x:c>
      <x:c r="L6" s="4" t="n">
        <x:v>87.4</x:v>
      </x:c>
      <x:c r="M6" s="4" t="n">
        <x:v>98.8</x:v>
      </x:c>
      <x:c r="N6" s="4" t="n">
        <x:v>102.6</x:v>
      </x:c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ht="21" customHeight="1">
      <x:c r="A7" s="1" t="str">
        <x:v>Income Statement</x:v>
      </x:c>
      <x:c r="B7" s="1" t="str">
        <x:v>Operating Expenses</x:v>
      </x:c>
      <x:c r="C7" s="4" t="n">
        <x:v>36</x:v>
      </x:c>
      <x:c r="D7" s="4" t="n">
        <x:v>33</x:v>
      </x:c>
      <x:c r="E7" s="4" t="n">
        <x:v>39</x:v>
      </x:c>
      <x:c r="F7" s="4" t="n">
        <x:v>42</x:v>
      </x:c>
      <x:c r="G7" s="4" t="n">
        <x:v>41.4</x:v>
      </x:c>
      <x:c r="H7" s="4" t="n">
        <x:v>41.4</x:v>
      </x:c>
      <x:c r="I7" s="4" t="n">
        <x:v>46.8</x:v>
      </x:c>
      <x:c r="J7" s="4" t="n">
        <x:v>50.4</x:v>
      </x:c>
      <x:c r="K7" s="4" t="n">
        <x:v>48</x:v>
      </x:c>
      <x:c r="L7" s="4" t="n">
        <x:v>46</x:v>
      </x:c>
      <x:c r="M7" s="4" t="n">
        <x:v>52</x:v>
      </x:c>
      <x:c r="N7" s="4" t="n">
        <x:v>54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1" customHeight="1">
      <x:c r="A8" s="1" t="str">
        <x:v>Income Statement</x:v>
      </x:c>
      <x:c r="B8" s="1" t="str">
        <x:v>Operating Income</x:v>
      </x:c>
      <x:c r="C8" s="4" t="n">
        <x:v>33.12</x:v>
      </x:c>
      <x:c r="D8" s="4" t="n">
        <x:v>30.36</x:v>
      </x:c>
      <x:c r="E8" s="4" t="n">
        <x:v>35.88</x:v>
      </x:c>
      <x:c r="F8" s="4" t="n">
        <x:v>38.64</x:v>
      </x:c>
      <x:c r="G8" s="4" t="n">
        <x:v>36.8</x:v>
      </x:c>
      <x:c r="H8" s="4" t="n">
        <x:v>36.8</x:v>
      </x:c>
      <x:c r="I8" s="4" t="n">
        <x:v>41.6</x:v>
      </x:c>
      <x:c r="J8" s="4" t="n">
        <x:v>44.8</x:v>
      </x:c>
      <x:c r="K8" s="4" t="n">
        <x:v>43.2</x:v>
      </x:c>
      <x:c r="L8" s="4" t="n">
        <x:v>41.4</x:v>
      </x:c>
      <x:c r="M8" s="4" t="n">
        <x:v>46.8</x:v>
      </x:c>
      <x:c r="N8" s="4" t="n">
        <x:v>48.6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1" customHeight="1">
      <x:c r="A9" s="1" t="str">
        <x:v>Income Statement</x:v>
      </x:c>
      <x:c r="B9" s="1" t="str">
        <x:v>Interest Expense</x:v>
      </x:c>
      <x:c r="C9" s="4" t="n">
        <x:v>6</x:v>
      </x:c>
      <x:c r="D9" s="4" t="n">
        <x:v>5.5</x:v>
      </x:c>
      <x:c r="E9" s="4" t="n">
        <x:v>6.5</x:v>
      </x:c>
      <x:c r="F9" s="4" t="n">
        <x:v>7</x:v>
      </x:c>
      <x:c r="G9" s="4" t="n">
        <x:v>5.06</x:v>
      </x:c>
      <x:c r="H9" s="4" t="n">
        <x:v>5.06</x:v>
      </x:c>
      <x:c r="I9" s="4" t="n">
        <x:v>5.72</x:v>
      </x:c>
      <x:c r="J9" s="4" t="n">
        <x:v>6.16</x:v>
      </x:c>
      <x:c r="K9" s="4" t="n">
        <x:v>4.8</x:v>
      </x:c>
      <x:c r="L9" s="4" t="n">
        <x:v>4.6</x:v>
      </x:c>
      <x:c r="M9" s="4" t="n">
        <x:v>5.2</x:v>
      </x:c>
      <x:c r="N9" s="4" t="n">
        <x:v>5.4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1" customHeight="1">
      <x:c r="A10" s="1" t="str">
        <x:v>Income Statement</x:v>
      </x:c>
      <x:c r="B10" s="1" t="str">
        <x:v>Earnings Before Tax</x:v>
      </x:c>
      <x:c r="C10" s="4" t="n">
        <x:v>27.12</x:v>
      </x:c>
      <x:c r="D10" s="4" t="n">
        <x:v>24.86</x:v>
      </x:c>
      <x:c r="E10" s="4" t="n">
        <x:v>29.38</x:v>
      </x:c>
      <x:c r="F10" s="4" t="n">
        <x:v>31.64</x:v>
      </x:c>
      <x:c r="G10" s="4" t="n">
        <x:v>31.74</x:v>
      </x:c>
      <x:c r="H10" s="4" t="n">
        <x:v>31.74</x:v>
      </x:c>
      <x:c r="I10" s="4" t="n">
        <x:v>35.88</x:v>
      </x:c>
      <x:c r="J10" s="4" t="n">
        <x:v>38.64</x:v>
      </x:c>
      <x:c r="K10" s="4" t="n">
        <x:v>38.4</x:v>
      </x:c>
      <x:c r="L10" s="4" t="n">
        <x:v>36.8</x:v>
      </x:c>
      <x:c r="M10" s="4" t="n">
        <x:v>41.6</x:v>
      </x:c>
      <x:c r="N10" s="4" t="n">
        <x:v>43.2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1" customHeight="1">
      <x:c r="A11" s="1" t="str">
        <x:v>Income Statement</x:v>
      </x:c>
      <x:c r="B11" s="1" t="str">
        <x:v>Tax Expense</x:v>
      </x:c>
      <x:c r="C11" s="4" t="n">
        <x:v>6.72</x:v>
      </x:c>
      <x:c r="D11" s="4" t="n">
        <x:v>6.16</x:v>
      </x:c>
      <x:c r="E11" s="4" t="n">
        <x:v>7.28</x:v>
      </x:c>
      <x:c r="F11" s="4" t="n">
        <x:v>7.84</x:v>
      </x:c>
      <x:c r="G11" s="4" t="n">
        <x:v>7.82</x:v>
      </x:c>
      <x:c r="H11" s="4" t="n">
        <x:v>7.82</x:v>
      </x:c>
      <x:c r="I11" s="4" t="n">
        <x:v>8.84</x:v>
      </x:c>
      <x:c r="J11" s="4" t="n">
        <x:v>9.52</x:v>
      </x:c>
      <x:c r="K11" s="4" t="n">
        <x:v>9.6</x:v>
      </x:c>
      <x:c r="L11" s="4" t="n">
        <x:v>9.2</x:v>
      </x:c>
      <x:c r="M11" s="4" t="n">
        <x:v>10.4</x:v>
      </x:c>
      <x:c r="N11" s="4" t="n">
        <x:v>10.8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21" customHeight="1">
      <x:c r="A12" s="1" t="str">
        <x:v>Income Statement</x:v>
      </x:c>
      <x:c r="B12" s="1" t="str">
        <x:v>Net Income</x:v>
      </x:c>
      <x:c r="C12" s="4" t="n">
        <x:v>20.4</x:v>
      </x:c>
      <x:c r="D12" s="4" t="n">
        <x:v>18.7</x:v>
      </x:c>
      <x:c r="E12" s="4" t="n">
        <x:v>22.1</x:v>
      </x:c>
      <x:c r="F12" s="4" t="n">
        <x:v>23.8</x:v>
      </x:c>
      <x:c r="G12" s="4" t="n">
        <x:v>23.92</x:v>
      </x:c>
      <x:c r="H12" s="4" t="n">
        <x:v>23.92</x:v>
      </x:c>
      <x:c r="I12" s="4" t="n">
        <x:v>27.04</x:v>
      </x:c>
      <x:c r="J12" s="4" t="n">
        <x:v>29.12</x:v>
      </x:c>
      <x:c r="K12" s="4" t="n">
        <x:v>28.8</x:v>
      </x:c>
      <x:c r="L12" s="4" t="n">
        <x:v>27.6</x:v>
      </x:c>
      <x:c r="M12" s="4" t="n">
        <x:v>31.2</x:v>
      </x:c>
      <x:c r="N12" s="4" t="n">
        <x:v>32.4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21" customHeight="1">
      <x:c r="A13" s="1" t="str">
        <x:v>Balance Sheet</x:v>
      </x:c>
      <x:c r="B13" s="1" t="str">
        <x:v>Cash</x:v>
      </x:c>
      <x:c r="C13" s="4" t="n">
        <x:v>51</x:v>
      </x:c>
      <x:c r="D13" s="4" t="n">
        <x:v>54.825</x:v>
      </x:c>
      <x:c r="E13" s="4" t="n">
        <x:v>56.21875</x:v>
      </x:c>
      <x:c r="F13" s="4" t="n">
        <x:v>59.8</x:v>
      </x:c>
      <x:c r="G13" s="4" t="n">
        <x:v>68.02</x:v>
      </x:c>
      <x:c r="H13" s="4" t="n">
        <x:v>97.115</x:v>
      </x:c>
      <x:c r="I13" s="4" t="n">
        <x:v>99.33625</x:v>
      </x:c>
      <x:c r="J13" s="4" t="n">
        <x:v>130.8</x:v>
      </x:c>
      <x:c r="K13" s="4" t="n">
        <x:v>134.4</x:v>
      </x:c>
      <x:c r="L13" s="4" t="n">
        <x:v>170.85</x:v>
      </x:c>
      <x:c r="M13" s="4" t="n">
        <x:v>173.4375</x:v>
      </x:c>
      <x:c r="N13" s="4" t="n">
        <x:v>210.8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21" customHeight="1">
      <x:c r="A14" s="1" t="str">
        <x:v>Balance Sheet</x:v>
      </x:c>
      <x:c r="B14" s="1" t="str">
        <x:v>Accounts Receivable</x:v>
      </x:c>
      <x:c r="C14" s="4" t="n">
        <x:v>93.5</x:v>
      </x:c>
      <x:c r="D14" s="4" t="n">
        <x:v>100.1</x:v>
      </x:c>
      <x:c r="E14" s="4" t="n">
        <x:v>103.4</x:v>
      </x:c>
      <x:c r="F14" s="4" t="n">
        <x:v>110</x:v>
      </x:c>
      <x:c r="G14" s="4" t="n">
        <x:v>111.8</x:v>
      </x:c>
      <x:c r="H14" s="4" t="n">
        <x:v>119.6</x:v>
      </x:c>
      <x:c r="I14" s="4" t="n">
        <x:v>123.5</x:v>
      </x:c>
      <x:c r="J14" s="4" t="n">
        <x:v>130</x:v>
      </x:c>
      <x:c r="K14" s="4" t="n">
        <x:v>126</x:v>
      </x:c>
      <x:c r="L14" s="4" t="n">
        <x:v>136.5</x:v>
      </x:c>
      <x:c r="M14" s="4" t="n">
        <x:v>142.5</x:v>
      </x:c>
      <x:c r="N14" s="4" t="n">
        <x:v>150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21" customHeight="1">
      <x:c r="A15" s="1" t="str">
        <x:v>Balance Sheet</x:v>
      </x:c>
      <x:c r="B15" s="1" t="str">
        <x:v>Inventory</x:v>
      </x:c>
      <x:c r="C15" s="4" t="n">
        <x:v>127.5</x:v>
      </x:c>
      <x:c r="D15" s="4" t="n">
        <x:v>136.5</x:v>
      </x:c>
      <x:c r="E15" s="4" t="n">
        <x:v>141</x:v>
      </x:c>
      <x:c r="F15" s="4" t="n">
        <x:v>150</x:v>
      </x:c>
      <x:c r="G15" s="4" t="n">
        <x:v>154.8</x:v>
      </x:c>
      <x:c r="H15" s="4" t="n">
        <x:v>165.6</x:v>
      </x:c>
      <x:c r="I15" s="4" t="n">
        <x:v>171</x:v>
      </x:c>
      <x:c r="J15" s="4" t="n">
        <x:v>180</x:v>
      </x:c>
      <x:c r="K15" s="4" t="n">
        <x:v>168</x:v>
      </x:c>
      <x:c r="L15" s="4" t="n">
        <x:v>182</x:v>
      </x:c>
      <x:c r="M15" s="4" t="n">
        <x:v>190</x:v>
      </x:c>
      <x:c r="N15" s="4" t="n">
        <x:v>200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21" customHeight="1">
      <x:c r="A16" s="1" t="str">
        <x:v>Balance Sheet</x:v>
      </x:c>
      <x:c r="B16" s="1" t="str">
        <x:v>Total Current Assets</x:v>
      </x:c>
      <x:c r="C16" s="4" t="n">
        <x:v>272</x:v>
      </x:c>
      <x:c r="D16" s="4" t="n">
        <x:v>291.425</x:v>
      </x:c>
      <x:c r="E16" s="4" t="n">
        <x:v>300.61875</x:v>
      </x:c>
      <x:c r="F16" s="4" t="n">
        <x:v>319.8</x:v>
      </x:c>
      <x:c r="G16" s="4" t="n">
        <x:v>334.62</x:v>
      </x:c>
      <x:c r="H16" s="4" t="n">
        <x:v>382.315</x:v>
      </x:c>
      <x:c r="I16" s="4" t="n">
        <x:v>393.83625</x:v>
      </x:c>
      <x:c r="J16" s="4" t="n">
        <x:v>440.8</x:v>
      </x:c>
      <x:c r="K16" s="4" t="n">
        <x:v>428.4</x:v>
      </x:c>
      <x:c r="L16" s="4" t="n">
        <x:v>489.35</x:v>
      </x:c>
      <x:c r="M16" s="4" t="n">
        <x:v>505.9375</x:v>
      </x:c>
      <x:c r="N16" s="4" t="n">
        <x:v>560.8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21" customHeight="1">
      <x:c r="A17" s="1" t="str">
        <x:v>Balance Sheet</x:v>
      </x:c>
      <x:c r="B17" s="1" t="str">
        <x:v>Property, Plant &amp; Equip.</x:v>
      </x:c>
      <x:c r="C17" s="4" t="n">
        <x:v>425</x:v>
      </x:c>
      <x:c r="D17" s="4" t="n">
        <x:v>455</x:v>
      </x:c>
      <x:c r="E17" s="4" t="n">
        <x:v>470</x:v>
      </x:c>
      <x:c r="F17" s="4" t="n">
        <x:v>500</x:v>
      </x:c>
      <x:c r="G17" s="4" t="n">
        <x:v>473</x:v>
      </x:c>
      <x:c r="H17" s="4" t="n">
        <x:v>506</x:v>
      </x:c>
      <x:c r="I17" s="4" t="n">
        <x:v>522.5</x:v>
      </x:c>
      <x:c r="J17" s="4" t="n">
        <x:v>550</x:v>
      </x:c>
      <x:c r="K17" s="4" t="n">
        <x:v>504</x:v>
      </x:c>
      <x:c r="L17" s="4" t="n">
        <x:v>546</x:v>
      </x:c>
      <x:c r="M17" s="4" t="n">
        <x:v>570</x:v>
      </x:c>
      <x:c r="N17" s="4" t="n">
        <x:v>600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21" customHeight="1">
      <x:c r="A18" s="1" t="str">
        <x:v>Balance Sheet</x:v>
      </x:c>
      <x:c r="B18" s="1" t="str">
        <x:v>Total Assets</x:v>
      </x:c>
      <x:c r="C18" s="4" t="n">
        <x:v>697</x:v>
      </x:c>
      <x:c r="D18" s="4" t="n">
        <x:v>746.425</x:v>
      </x:c>
      <x:c r="E18" s="4" t="n">
        <x:v>770.61875</x:v>
      </x:c>
      <x:c r="F18" s="4" t="n">
        <x:v>819.8</x:v>
      </x:c>
      <x:c r="G18" s="4" t="n">
        <x:v>807.62</x:v>
      </x:c>
      <x:c r="H18" s="4" t="n">
        <x:v>888.315</x:v>
      </x:c>
      <x:c r="I18" s="4" t="n">
        <x:v>916.33625</x:v>
      </x:c>
      <x:c r="J18" s="4" t="n">
        <x:v>990.8</x:v>
      </x:c>
      <x:c r="K18" s="4" t="n">
        <x:v>932.4</x:v>
      </x:c>
      <x:c r="L18" s="4" t="n">
        <x:v>1035.35</x:v>
      </x:c>
      <x:c r="M18" s="4" t="n">
        <x:v>1075.9375</x:v>
      </x:c>
      <x:c r="N18" s="4" t="n">
        <x:v>1160.8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21" customHeight="1">
      <x:c r="A19" s="1" t="str">
        <x:v>Balance Sheet</x:v>
      </x:c>
      <x:c r="B19" s="1" t="str">
        <x:v>Liabilities &amp; Equity</x:v>
      </x:c>
      <x:c r="C19" s="4" t="n">
        <x:v>0.96</x:v>
      </x:c>
      <x:c r="D19" s="4" t="n">
        <x:v>1.02</x:v>
      </x:c>
      <x:c r="E19" s="4" t="n">
        <x:v>0.99</x:v>
      </x:c>
      <x:c r="F19" s="4" t="n">
        <x:v>1</x:v>
      </x:c>
      <x:c r="G19" s="4" t="n">
        <x:v>1.02</x:v>
      </x:c>
      <x:c r="H19" s="4" t="n">
        <x:v>0.98</x:v>
      </x:c>
      <x:c r="I19" s="4" t="n">
        <x:v>1.01</x:v>
      </x:c>
      <x:c r="J19" s="4" t="n">
        <x:v>1</x:v>
      </x:c>
      <x:c r="K19" s="4" t="n">
        <x:v>0.99</x:v>
      </x:c>
      <x:c r="L19" s="4" t="n">
        <x:v>0.97</x:v>
      </x:c>
      <x:c r="M19" s="4" t="n">
        <x:v>0.98</x:v>
      </x:c>
      <x:c r="N19" s="4" t="n">
        <x:v>1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21" customHeight="1">
      <x:c r="A20" s="1" t="str">
        <x:v>Balance Sheet</x:v>
      </x:c>
      <x:c r="B20" s="1" t="str">
        <x:v>Accounts Payable</x:v>
      </x:c>
      <x:c r="C20" s="4" t="n">
        <x:v>76.8</x:v>
      </x:c>
      <x:c r="D20" s="4" t="n">
        <x:v>81.6</x:v>
      </x:c>
      <x:c r="E20" s="4" t="n">
        <x:v>79.2</x:v>
      </x:c>
      <x:c r="F20" s="4" t="n">
        <x:v>80</x:v>
      </x:c>
      <x:c r="G20" s="4" t="n">
        <x:v>102</x:v>
      </x:c>
      <x:c r="H20" s="4" t="n">
        <x:v>98</x:v>
      </x:c>
      <x:c r="I20" s="4" t="n">
        <x:v>101</x:v>
      </x:c>
      <x:c r="J20" s="4" t="n">
        <x:v>100</x:v>
      </x:c>
      <x:c r="K20" s="4" t="n">
        <x:v>118.8</x:v>
      </x:c>
      <x:c r="L20" s="4" t="n">
        <x:v>116.4</x:v>
      </x:c>
      <x:c r="M20" s="4" t="n">
        <x:v>117.6</x:v>
      </x:c>
      <x:c r="N20" s="4" t="n">
        <x:v>120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21" customHeight="1">
      <x:c r="A21" s="1" t="str">
        <x:v>Balance Sheet</x:v>
      </x:c>
      <x:c r="B21" s="1" t="str">
        <x:v>Current Portion of Debt</x:v>
      </x:c>
      <x:c r="C21" s="4" t="n">
        <x:v>25.5</x:v>
      </x:c>
      <x:c r="D21" s="4" t="n">
        <x:v>27.3</x:v>
      </x:c>
      <x:c r="E21" s="4" t="n">
        <x:v>28.2</x:v>
      </x:c>
      <x:c r="F21" s="4" t="n">
        <x:v>30</x:v>
      </x:c>
      <x:c r="G21" s="4" t="n">
        <x:v>34.4</x:v>
      </x:c>
      <x:c r="H21" s="4" t="n">
        <x:v>36.8</x:v>
      </x:c>
      <x:c r="I21" s="4" t="n">
        <x:v>38</x:v>
      </x:c>
      <x:c r="J21" s="4" t="n">
        <x:v>40</x:v>
      </x:c>
      <x:c r="K21" s="4" t="n">
        <x:v>42</x:v>
      </x:c>
      <x:c r="L21" s="4" t="n">
        <x:v>45.5</x:v>
      </x:c>
      <x:c r="M21" s="4" t="n">
        <x:v>47.5</x:v>
      </x:c>
      <x:c r="N21" s="4" t="n">
        <x:v>50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A22" s="1" t="str">
        <x:v>Balance Sheet</x:v>
      </x:c>
      <x:c r="B22" s="1" t="str">
        <x:v>Total Current Liabilities</x:v>
      </x:c>
      <x:c r="C22" s="4" t="n">
        <x:v>102.3</x:v>
      </x:c>
      <x:c r="D22" s="4" t="n">
        <x:v>108.9</x:v>
      </x:c>
      <x:c r="E22" s="4" t="n">
        <x:v>107.4</x:v>
      </x:c>
      <x:c r="F22" s="4" t="n">
        <x:v>110</x:v>
      </x:c>
      <x:c r="G22" s="4" t="n">
        <x:v>136.4</x:v>
      </x:c>
      <x:c r="H22" s="4" t="n">
        <x:v>134.8</x:v>
      </x:c>
      <x:c r="I22" s="4" t="n">
        <x:v>139</x:v>
      </x:c>
      <x:c r="J22" s="4" t="n">
        <x:v>140</x:v>
      </x:c>
      <x:c r="K22" s="4" t="n">
        <x:v>160.8</x:v>
      </x:c>
      <x:c r="L22" s="4" t="n">
        <x:v>161.9</x:v>
      </x:c>
      <x:c r="M22" s="4" t="n">
        <x:v>165.1</x:v>
      </x:c>
      <x:c r="N22" s="4" t="n">
        <x:v>170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21" customHeight="1">
      <x:c r="A23" s="1" t="str">
        <x:v>Balance Sheet</x:v>
      </x:c>
      <x:c r="B23" s="1" t="str">
        <x:v>Long-term Debt</x:v>
      </x:c>
      <x:c r="C23" s="4" t="n">
        <x:v>357.5</x:v>
      </x:c>
      <x:c r="D23" s="4" t="n">
        <x:v>355.625</x:v>
      </x:c>
      <x:c r="E23" s="4" t="n">
        <x:v>354.21875</x:v>
      </x:c>
      <x:c r="F23" s="4" t="n">
        <x:v>350</x:v>
      </x:c>
      <x:c r="G23" s="4" t="n">
        <x:v>342.5</x:v>
      </x:c>
      <x:c r="H23" s="4" t="n">
        <x:v>336.875</x:v>
      </x:c>
      <x:c r="I23" s="4" t="n">
        <x:v>332.65625</x:v>
      </x:c>
      <x:c r="J23" s="4" t="n">
        <x:v>320</x:v>
      </x:c>
      <x:c r="K23" s="4" t="n">
        <x:v>315</x:v>
      </x:c>
      <x:c r="L23" s="4" t="n">
        <x:v>311.25</x:v>
      </x:c>
      <x:c r="M23" s="4" t="n">
        <x:v>308.4375</x:v>
      </x:c>
      <x:c r="N23" s="4" t="n">
        <x:v>300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21" customHeight="1">
      <x:c r="A24" s="1" t="str">
        <x:v>Balance Sheet</x:v>
      </x:c>
      <x:c r="B24" s="1" t="str">
        <x:v>Total Liabilities</x:v>
      </x:c>
      <x:c r="C24" s="4" t="n">
        <x:v>459.8</x:v>
      </x:c>
      <x:c r="D24" s="4" t="n">
        <x:v>464.525</x:v>
      </x:c>
      <x:c r="E24" s="4" t="n">
        <x:v>461.61875</x:v>
      </x:c>
      <x:c r="F24" s="4" t="n">
        <x:v>460</x:v>
      </x:c>
      <x:c r="G24" s="4" t="n">
        <x:v>478.9</x:v>
      </x:c>
      <x:c r="H24" s="4" t="n">
        <x:v>471.675</x:v>
      </x:c>
      <x:c r="I24" s="4" t="n">
        <x:v>471.65625</x:v>
      </x:c>
      <x:c r="J24" s="4" t="n">
        <x:v>460</x:v>
      </x:c>
      <x:c r="K24" s="4" t="n">
        <x:v>475.8</x:v>
      </x:c>
      <x:c r="L24" s="4" t="n">
        <x:v>473.15</x:v>
      </x:c>
      <x:c r="M24" s="4" t="n">
        <x:v>473.5375</x:v>
      </x:c>
      <x:c r="N24" s="4" t="n">
        <x:v>470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21" customHeight="1">
      <x:c r="A25" s="1" t="str">
        <x:v>Balance Sheet</x:v>
      </x:c>
      <x:c r="B25" s="1" t="str">
        <x:v>Common Stock</x:v>
      </x:c>
      <x:c r="C25" s="4" t="n">
        <x:v>100</x:v>
      </x:c>
      <x:c r="D25" s="4" t="n">
        <x:v>126</x:v>
      </x:c>
      <x:c r="E25" s="4" t="n">
        <x:v>131</x:v>
      </x:c>
      <x:c r="F25" s="4" t="n">
        <x:v>158</x:v>
      </x:c>
      <x:c r="G25" s="4" t="n">
        <x:v>103</x:v>
      </x:c>
      <x:c r="H25" s="4" t="n">
        <x:v>167</x:v>
      </x:c>
      <x:c r="I25" s="4" t="n">
        <x:v>168</x:v>
      </x:c>
      <x:c r="J25" s="4" t="n">
        <x:v>225</x:v>
      </x:c>
      <x:c r="K25" s="4" t="n">
        <x:v>122</x:v>
      </x:c>
      <x:c r="L25" s="4" t="n">
        <x:v>200</x:v>
      </x:c>
      <x:c r="M25" s="4" t="n">
        <x:v>209</x:v>
      </x:c>
      <x:c r="N25" s="4" t="n">
        <x:v>265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21" customHeight="1">
      <x:c r="A26" s="1" t="str">
        <x:v>Balance Sheet</x:v>
      </x:c>
      <x:c r="B26" s="1" t="str">
        <x:v>Retained Earnings</x:v>
      </x:c>
      <x:c r="C26" s="4" t="n">
        <x:v>137.4</x:v>
      </x:c>
      <x:c r="D26" s="4" t="n">
        <x:v>156.1</x:v>
      </x:c>
      <x:c r="E26" s="4" t="n">
        <x:v>178.2</x:v>
      </x:c>
      <x:c r="F26" s="4" t="n">
        <x:v>202</x:v>
      </x:c>
      <x:c r="G26" s="4" t="n">
        <x:v>225.92</x:v>
      </x:c>
      <x:c r="H26" s="4" t="n">
        <x:v>249.84</x:v>
      </x:c>
      <x:c r="I26" s="4" t="n">
        <x:v>276.88</x:v>
      </x:c>
      <x:c r="J26" s="4" t="n">
        <x:v>306</x:v>
      </x:c>
      <x:c r="K26" s="4" t="n">
        <x:v>334.8</x:v>
      </x:c>
      <x:c r="L26" s="4" t="n">
        <x:v>362.4</x:v>
      </x:c>
      <x:c r="M26" s="4" t="n">
        <x:v>393.6</x:v>
      </x:c>
      <x:c r="N26" s="4" t="n">
        <x:v>426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21" customHeight="1">
      <x:c r="A27" s="1" t="str">
        <x:v>Balance Sheet</x:v>
      </x:c>
      <x:c r="B27" s="1" t="str">
        <x:v>Total Liabilities &amp; Equity</x:v>
      </x:c>
      <x:c r="C27" s="4" t="n">
        <x:v>697.2</x:v>
      </x:c>
      <x:c r="D27" s="4" t="n">
        <x:v>746.625</x:v>
      </x:c>
      <x:c r="E27" s="4" t="n">
        <x:v>770.81875</x:v>
      </x:c>
      <x:c r="F27" s="4" t="n">
        <x:v>820</x:v>
      </x:c>
      <x:c r="G27" s="4" t="n">
        <x:v>807.82</x:v>
      </x:c>
      <x:c r="H27" s="4" t="n">
        <x:v>888.515</x:v>
      </x:c>
      <x:c r="I27" s="4" t="n">
        <x:v>916.53625</x:v>
      </x:c>
      <x:c r="J27" s="4" t="n">
        <x:v>991</x:v>
      </x:c>
      <x:c r="K27" s="4" t="n">
        <x:v>932.6</x:v>
      </x:c>
      <x:c r="L27" s="4" t="n">
        <x:v>1035.55</x:v>
      </x:c>
      <x:c r="M27" s="4" t="n">
        <x:v>1076.1375</x:v>
      </x:c>
      <x:c r="N27" s="4" t="n">
        <x:v>1161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21" customHeight="1">
      <x:c r="A28" s="1" t="str">
        <x:v>Cash Flow</x:v>
      </x:c>
      <x:c r="B28" s="1" t="str">
        <x:v>Net income</x:v>
      </x:c>
      <x:c r="C28" s="4" t="n">
        <x:v>20.4</x:v>
      </x:c>
      <x:c r="D28" s="4" t="n">
        <x:v>18.7</x:v>
      </x:c>
      <x:c r="E28" s="4" t="n">
        <x:v>22.1</x:v>
      </x:c>
      <x:c r="F28" s="4" t="n">
        <x:v>23.8</x:v>
      </x:c>
      <x:c r="G28" s="4" t="n">
        <x:v>23.92</x:v>
      </x:c>
      <x:c r="H28" s="4" t="n">
        <x:v>23.92</x:v>
      </x:c>
      <x:c r="I28" s="4" t="n">
        <x:v>27.04</x:v>
      </x:c>
      <x:c r="J28" s="4" t="n">
        <x:v>29.12</x:v>
      </x:c>
      <x:c r="K28" s="4" t="n">
        <x:v>28.8</x:v>
      </x:c>
      <x:c r="L28" s="4" t="n">
        <x:v>27.6</x:v>
      </x:c>
      <x:c r="M28" s="4" t="n">
        <x:v>31.2</x:v>
      </x:c>
      <x:c r="N28" s="4" t="n">
        <x:v>32.4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21" customHeight="1">
      <x:c r="A29" s="1" t="str">
        <x:v>Cash Flow</x:v>
      </x:c>
      <x:c r="B29" s="1" t="str">
        <x:v>Change in AR</x:v>
      </x:c>
      <x:c r="C29" s="4" t="n">
        <x:v>-1.5</x:v>
      </x:c>
      <x:c r="D29" s="4" t="n">
        <x:v>-6.6</x:v>
      </x:c>
      <x:c r="E29" s="4" t="n">
        <x:v>-3.3</x:v>
      </x:c>
      <x:c r="F29" s="4" t="n">
        <x:v>-6.6</x:v>
      </x:c>
      <x:c r="G29" s="4" t="n">
        <x:v>-1.8</x:v>
      </x:c>
      <x:c r="H29" s="4" t="n">
        <x:v>-7.8</x:v>
      </x:c>
      <x:c r="I29" s="4" t="n">
        <x:v>-3.9</x:v>
      </x:c>
      <x:c r="J29" s="4" t="n">
        <x:v>-6.5</x:v>
      </x:c>
      <x:c r="K29" s="4" t="n">
        <x:v>4</x:v>
      </x:c>
      <x:c r="L29" s="4" t="n">
        <x:v>-10.5</x:v>
      </x:c>
      <x:c r="M29" s="4" t="n">
        <x:v>-6</x:v>
      </x:c>
      <x:c r="N29" s="4" t="n">
        <x:v>-7.5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1" customHeight="1">
      <x:c r="A30" s="1" t="str">
        <x:v>Cash Flow</x:v>
      </x:c>
      <x:c r="B30" s="1" t="str">
        <x:v>Change in Inventory</x:v>
      </x:c>
      <x:c r="C30" s="4" t="n">
        <x:v>-7.5</x:v>
      </x:c>
      <x:c r="D30" s="4" t="n">
        <x:v>-9</x:v>
      </x:c>
      <x:c r="E30" s="4" t="n">
        <x:v>-4.5</x:v>
      </x:c>
      <x:c r="F30" s="4" t="n">
        <x:v>-9</x:v>
      </x:c>
      <x:c r="G30" s="4" t="n">
        <x:v>-4.8</x:v>
      </x:c>
      <x:c r="H30" s="4" t="n">
        <x:v>-10.8</x:v>
      </x:c>
      <x:c r="I30" s="4" t="n">
        <x:v>-5.4</x:v>
      </x:c>
      <x:c r="J30" s="4" t="n">
        <x:v>-9</x:v>
      </x:c>
      <x:c r="K30" s="4" t="n">
        <x:v>12</x:v>
      </x:c>
      <x:c r="L30" s="4" t="n">
        <x:v>-14</x:v>
      </x:c>
      <x:c r="M30" s="4" t="n">
        <x:v>-8</x:v>
      </x:c>
      <x:c r="N30" s="4" t="n">
        <x:v>-10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21" customHeight="1">
      <x:c r="A31" s="1" t="str">
        <x:v>Cash Flow</x:v>
      </x:c>
      <x:c r="B31" s="1" t="str">
        <x:v>Change in Payables</x:v>
      </x:c>
      <x:c r="C31" s="4" t="n">
        <x:v>24.8</x:v>
      </x:c>
      <x:c r="D31" s="4" t="n">
        <x:v>4.8</x:v>
      </x:c>
      <x:c r="E31" s="4" t="n">
        <x:v>-2.4</x:v>
      </x:c>
      <x:c r="F31" s="4" t="n">
        <x:v>0.8</x:v>
      </x:c>
      <x:c r="G31" s="4" t="n">
        <x:v>22</x:v>
      </x:c>
      <x:c r="H31" s="4" t="n">
        <x:v>-4</x:v>
      </x:c>
      <x:c r="I31" s="4" t="n">
        <x:v>3</x:v>
      </x:c>
      <x:c r="J31" s="4" t="n">
        <x:v>-1</x:v>
      </x:c>
      <x:c r="K31" s="4" t="n">
        <x:v>18.8</x:v>
      </x:c>
      <x:c r="L31" s="4" t="n">
        <x:v>-2.4</x:v>
      </x:c>
      <x:c r="M31" s="4" t="n">
        <x:v>1.2</x:v>
      </x:c>
      <x:c r="N31" s="4" t="n">
        <x:v>2.4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21" customHeight="1">
      <x:c r="A32" s="1" t="str">
        <x:v>Cash Flow</x:v>
      </x:c>
      <x:c r="B32" s="1" t="str">
        <x:v>Cash from Operations</x:v>
      </x:c>
      <x:c r="C32" s="4" t="n">
        <x:v>36.2</x:v>
      </x:c>
      <x:c r="D32" s="4" t="n">
        <x:v>7.9</x:v>
      </x:c>
      <x:c r="E32" s="4" t="n">
        <x:v>11.9</x:v>
      </x:c>
      <x:c r="F32" s="4" t="n">
        <x:v>9</x:v>
      </x:c>
      <x:c r="G32" s="4" t="n">
        <x:v>39.32</x:v>
      </x:c>
      <x:c r="H32" s="4" t="n">
        <x:v>1.32</x:v>
      </x:c>
      <x:c r="I32" s="4" t="n">
        <x:v>20.74</x:v>
      </x:c>
      <x:c r="J32" s="4" t="n">
        <x:v>12.62</x:v>
      </x:c>
      <x:c r="K32" s="4" t="n">
        <x:v>63.6</x:v>
      </x:c>
      <x:c r="L32" s="4" t="n">
        <x:v>0.7</x:v>
      </x:c>
      <x:c r="M32" s="4" t="n">
        <x:v>18.4</x:v>
      </x:c>
      <x:c r="N32" s="4" t="n">
        <x:v>17.3</x:v>
      </x:c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21" customHeight="1">
      <x:c r="A33" s="1" t="str">
        <x:v>Cash Flow</x:v>
      </x:c>
      <x:c r="B33" s="1" t="str">
        <x:v>Capex</x:v>
      </x:c>
      <x:c r="C33" s="4" t="n">
        <x:v>-5</x:v>
      </x:c>
      <x:c r="D33" s="4" t="n">
        <x:v>-30</x:v>
      </x:c>
      <x:c r="E33" s="4" t="n">
        <x:v>-15</x:v>
      </x:c>
      <x:c r="F33" s="4" t="n">
        <x:v>-30</x:v>
      </x:c>
      <x:c r="G33" s="4" t="n">
        <x:v>27</x:v>
      </x:c>
      <x:c r="H33" s="4" t="n">
        <x:v>-33</x:v>
      </x:c>
      <x:c r="I33" s="4" t="n">
        <x:v>-16.5</x:v>
      </x:c>
      <x:c r="J33" s="4" t="n">
        <x:v>-27.5</x:v>
      </x:c>
      <x:c r="K33" s="4" t="n">
        <x:v>46</x:v>
      </x:c>
      <x:c r="L33" s="4" t="n">
        <x:v>-42</x:v>
      </x:c>
      <x:c r="M33" s="4" t="n">
        <x:v>-24</x:v>
      </x:c>
      <x:c r="N33" s="4" t="n">
        <x:v>-30</x:v>
      </x:c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21" customHeight="1">
      <x:c r="A34" s="1" t="str">
        <x:v>Cash Flow</x:v>
      </x:c>
      <x:c r="B34" s="1" t="str">
        <x:v>Cash from Investing</x:v>
      </x:c>
      <x:c r="C34" s="4" t="n">
        <x:v>-5</x:v>
      </x:c>
      <x:c r="D34" s="4" t="n">
        <x:v>-30</x:v>
      </x:c>
      <x:c r="E34" s="4" t="n">
        <x:v>-15</x:v>
      </x:c>
      <x:c r="F34" s="4" t="n">
        <x:v>-30</x:v>
      </x:c>
      <x:c r="G34" s="4" t="n">
        <x:v>27</x:v>
      </x:c>
      <x:c r="H34" s="4" t="n">
        <x:v>-33</x:v>
      </x:c>
      <x:c r="I34" s="4" t="n">
        <x:v>-16.5</x:v>
      </x:c>
      <x:c r="J34" s="4" t="n">
        <x:v>-27.5</x:v>
      </x:c>
      <x:c r="K34" s="4" t="n">
        <x:v>46</x:v>
      </x:c>
      <x:c r="L34" s="4" t="n">
        <x:v>-42</x:v>
      </x:c>
      <x:c r="M34" s="4" t="n">
        <x:v>-24</x:v>
      </x:c>
      <x:c r="N34" s="4" t="n">
        <x:v>-30</x:v>
      </x:c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21" customHeight="1">
      <x:c r="A35" s="1" t="str">
        <x:v>Cash Flow</x:v>
      </x:c>
      <x:c r="B35" s="1" t="str">
        <x:v>Change in short term debt</x:v>
      </x:c>
      <x:c r="C35" s="4" t="n">
        <x:v>0.5</x:v>
      </x:c>
      <x:c r="D35" s="4" t="n">
        <x:v>1.8</x:v>
      </x:c>
      <x:c r="E35" s="4" t="n">
        <x:v>0.9</x:v>
      </x:c>
      <x:c r="F35" s="4" t="n">
        <x:v>1.8</x:v>
      </x:c>
      <x:c r="G35" s="4" t="n">
        <x:v>4.4</x:v>
      </x:c>
      <x:c r="H35" s="4" t="n">
        <x:v>2.4</x:v>
      </x:c>
      <x:c r="I35" s="4" t="n">
        <x:v>1.2</x:v>
      </x:c>
      <x:c r="J35" s="4" t="n">
        <x:v>2</x:v>
      </x:c>
      <x:c r="K35" s="4" t="n">
        <x:v>2</x:v>
      </x:c>
      <x:c r="L35" s="4" t="n">
        <x:v>3.5</x:v>
      </x:c>
      <x:c r="M35" s="4" t="n">
        <x:v>2</x:v>
      </x:c>
      <x:c r="N35" s="4" t="n">
        <x:v>2.5</x:v>
      </x:c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 ht="21" customHeight="1">
      <x:c r="A36" s="1" t="str">
        <x:v>Cash Flow</x:v>
      </x:c>
      <x:c r="B36" s="1" t="str">
        <x:v>Change in long term debt</x:v>
      </x:c>
      <x:c r="C36" s="4" t="n">
        <x:v>-2.5</x:v>
      </x:c>
      <x:c r="D36" s="4" t="n">
        <x:v>-1.875</x:v>
      </x:c>
      <x:c r="E36" s="4" t="n">
        <x:v>-1.40625</x:v>
      </x:c>
      <x:c r="F36" s="4" t="n">
        <x:v>-4.21875</x:v>
      </x:c>
      <x:c r="G36" s="4" t="n">
        <x:v>-7.5</x:v>
      </x:c>
      <x:c r="H36" s="4" t="n">
        <x:v>-5.625</x:v>
      </x:c>
      <x:c r="I36" s="4" t="n">
        <x:v>-4.21875</x:v>
      </x:c>
      <x:c r="J36" s="4" t="n">
        <x:v>-12.65625</x:v>
      </x:c>
      <x:c r="K36" s="4" t="n">
        <x:v>-5</x:v>
      </x:c>
      <x:c r="L36" s="4" t="n">
        <x:v>-3.75</x:v>
      </x:c>
      <x:c r="M36" s="4" t="n">
        <x:v>-2.8125</x:v>
      </x:c>
      <x:c r="N36" s="4" t="n">
        <x:v>-8.4375</x:v>
      </x:c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 ht="21" customHeight="1">
      <x:c r="A37" s="1" t="str">
        <x:v>Cash Flow</x:v>
      </x:c>
      <x:c r="B37" s="1" t="str">
        <x:v>Change in Equity</x:v>
      </x:c>
      <x:c r="C37" s="4" t="n">
        <x:v>0</x:v>
      </x:c>
      <x:c r="D37" s="4" t="n">
        <x:v>26</x:v>
      </x:c>
      <x:c r="E37" s="4" t="n">
        <x:v>5</x:v>
      </x:c>
      <x:c r="F37" s="4" t="n">
        <x:v>27</x:v>
      </x:c>
      <x:c r="G37" s="4" t="n">
        <x:v>-55</x:v>
      </x:c>
      <x:c r="H37" s="4" t="n">
        <x:v>64</x:v>
      </x:c>
      <x:c r="I37" s="4" t="n">
        <x:v>1</x:v>
      </x:c>
      <x:c r="J37" s="4" t="n">
        <x:v>57</x:v>
      </x:c>
      <x:c r="K37" s="4" t="n">
        <x:v>-103</x:v>
      </x:c>
      <x:c r="L37" s="4" t="n">
        <x:v>78</x:v>
      </x:c>
      <x:c r="M37" s="4" t="n">
        <x:v>9</x:v>
      </x:c>
      <x:c r="N37" s="4" t="n">
        <x:v>56</x:v>
      </x:c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 ht="21" customHeight="1">
      <x:c r="A38" s="1" t="str">
        <x:v>Cash Flow</x:v>
      </x:c>
      <x:c r="B38" s="1" t="str">
        <x:v>Cash from Financing</x:v>
      </x:c>
      <x:c r="C38" s="4" t="n">
        <x:v>-2</x:v>
      </x:c>
      <x:c r="D38" s="4" t="n">
        <x:v>25.925</x:v>
      </x:c>
      <x:c r="E38" s="4" t="n">
        <x:v>4.49375</x:v>
      </x:c>
      <x:c r="F38" s="4" t="n">
        <x:v>24.58125</x:v>
      </x:c>
      <x:c r="G38" s="4" t="n">
        <x:v>-58.1</x:v>
      </x:c>
      <x:c r="H38" s="4" t="n">
        <x:v>60.775</x:v>
      </x:c>
      <x:c r="I38" s="4" t="n">
        <x:v>-2.01875</x:v>
      </x:c>
      <x:c r="J38" s="4" t="n">
        <x:v>46.34375</x:v>
      </x:c>
      <x:c r="K38" s="4" t="n">
        <x:v>-106</x:v>
      </x:c>
      <x:c r="L38" s="4" t="n">
        <x:v>77.75</x:v>
      </x:c>
      <x:c r="M38" s="4" t="n">
        <x:v>8.1875</x:v>
      </x:c>
      <x:c r="N38" s="4" t="n">
        <x:v>50.0625</x:v>
      </x:c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 ht="21" customHeight="1">
      <x:c r="A39" s="1" t="str">
        <x:v>Cash Flow</x:v>
      </x:c>
      <x:c r="B39" s="1" t="str">
        <x:v>Change in Cash </x:v>
      </x:c>
      <x:c r="C39" s="4" t="n">
        <x:v>22</x:v>
      </x:c>
      <x:c r="D39" s="4" t="n">
        <x:v>3.825</x:v>
      </x:c>
      <x:c r="E39" s="4" t="n">
        <x:v>1.39375</x:v>
      </x:c>
      <x:c r="F39" s="4" t="n">
        <x:v>3.58125</x:v>
      </x:c>
      <x:c r="G39" s="4" t="n">
        <x:v>8.22</x:v>
      </x:c>
      <x:c r="H39" s="4" t="n">
        <x:v>29.095</x:v>
      </x:c>
      <x:c r="I39" s="4" t="n">
        <x:v>2.22125</x:v>
      </x:c>
      <x:c r="J39" s="4" t="n">
        <x:v>31.46375</x:v>
      </x:c>
      <x:c r="K39" s="4" t="n">
        <x:v>3.6</x:v>
      </x:c>
      <x:c r="L39" s="4" t="n">
        <x:v>36.45</x:v>
      </x:c>
      <x:c r="M39" s="4" t="n">
        <x:v>2.5875</x:v>
      </x:c>
      <x:c r="N39" s="4" t="n">
        <x:v>37.3625</x:v>
      </x:c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A40" s="1" t="str">
        <x:v>Cash Flow</x:v>
      </x:c>
      <x:c r="B40" s="1" t="str">
        <x:v>Opening Cash</x:v>
      </x:c>
      <x:c r="C40" s="4" t="n">
        <x:v>29</x:v>
      </x:c>
      <x:c r="D40" s="4" t="n">
        <x:v>51</x:v>
      </x:c>
      <x:c r="E40" s="4" t="n">
        <x:v>54.825</x:v>
      </x:c>
      <x:c r="F40" s="4" t="n">
        <x:v>56.21875</x:v>
      </x:c>
      <x:c r="G40" s="4" t="n">
        <x:v>59.8</x:v>
      </x:c>
      <x:c r="H40" s="4" t="n">
        <x:v>68.02</x:v>
      </x:c>
      <x:c r="I40" s="4" t="n">
        <x:v>97.115</x:v>
      </x:c>
      <x:c r="J40" s="4" t="n">
        <x:v>99.33625</x:v>
      </x:c>
      <x:c r="K40" s="4" t="n">
        <x:v>130.8</x:v>
      </x:c>
      <x:c r="L40" s="4" t="n">
        <x:v>134.4</x:v>
      </x:c>
      <x:c r="M40" s="4" t="n">
        <x:v>170.85</x:v>
      </x:c>
      <x:c r="N40" s="4" t="n">
        <x:v>173.4375</x:v>
      </x:c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21" customHeight="1">
      <x:c r="A41" s="1" t="str">
        <x:v>Cash Flow</x:v>
      </x:c>
      <x:c r="B41" s="1" t="str">
        <x:v>Closing Cash</x:v>
      </x:c>
      <x:c r="C41" s="4" t="n">
        <x:v>51</x:v>
      </x:c>
      <x:c r="D41" s="4" t="n">
        <x:v>54.825</x:v>
      </x:c>
      <x:c r="E41" s="4" t="n">
        <x:v>56.21875</x:v>
      </x:c>
      <x:c r="F41" s="4" t="n">
        <x:v>59.8</x:v>
      </x:c>
      <x:c r="G41" s="4" t="n">
        <x:v>68.02</x:v>
      </x:c>
      <x:c r="H41" s="4" t="n">
        <x:v>97.115</x:v>
      </x:c>
      <x:c r="I41" s="4" t="n">
        <x:v>99.33625</x:v>
      </x:c>
      <x:c r="J41" s="4" t="n">
        <x:v>130.8</x:v>
      </x:c>
      <x:c r="K41" s="4" t="n">
        <x:v>134.4</x:v>
      </x:c>
      <x:c r="L41" s="4" t="n">
        <x:v>170.85</x:v>
      </x:c>
      <x:c r="M41" s="4" t="n">
        <x:v>173.4375</x:v>
      </x:c>
      <x:c r="N41" s="4" t="n">
        <x:v>210.8</x:v>
      </x:c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 ht="21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 ht="21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 ht="21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 ht="21" customHeight="1">
      <x:c r="A151" s="1"/>
      <x:c r="B151" s="1"/>
      <x:c r="C151" s="1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 ht="21" customHeight="1">
      <x:c r="A152" s="1"/>
      <x:c r="B152" s="1"/>
      <x:c r="C152" s="1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 ht="21" customHeight="1">
      <x:c r="A153" s="1"/>
      <x:c r="B153" s="1"/>
      <x:c r="C153" s="1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 ht="21" customHeight="1">
      <x:c r="A154" s="1"/>
      <x:c r="B154" s="1"/>
      <x:c r="C154" s="1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 ht="21" customHeight="1">
      <x:c r="A155" s="1"/>
      <x:c r="B155" s="1"/>
      <x:c r="C155" s="1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3" t="str">
        <x:v>AST master reconciliation checks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1" t="str">
        <x:v>Source differences remain visible. Checks are terminal and do not drive forecasts.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21" customHeight="1">
      <x:c r="A5" s="1"/>
      <x:c r="B5" s="1"/>
      <x:c r="C5" s="1"/>
      <x:c r="D5" s="47" t="str">
        <x:f>'Base Case'!D4</x:f>
        <x:v>Q1:21</x:v>
      </x:c>
      <x:c r="E5" s="47" t="str">
        <x:f>'Base Case'!E4</x:f>
        <x:v>Q2:21</x:v>
      </x:c>
      <x:c r="F5" s="47" t="str">
        <x:f>'Base Case'!F4</x:f>
        <x:v>Q3:21</x:v>
      </x:c>
      <x:c r="G5" s="47" t="str">
        <x:f>'Base Case'!G4</x:f>
        <x:v>Q4:21</x:v>
      </x:c>
      <x:c r="H5" s="47" t="str">
        <x:f>'Base Case'!H4</x:f>
        <x:v>Q1:22</x:v>
      </x:c>
      <x:c r="I5" s="47" t="str">
        <x:f>'Base Case'!I4</x:f>
        <x:v>Q2:22</x:v>
      </x:c>
      <x:c r="J5" s="47" t="str">
        <x:f>'Base Case'!J4</x:f>
        <x:v>Q3:22</x:v>
      </x:c>
      <x:c r="K5" s="47" t="str">
        <x:f>'Base Case'!K4</x:f>
        <x:v>Q4:22</x:v>
      </x:c>
      <x:c r="L5" s="47" t="str">
        <x:f>'Base Case'!L4</x:f>
        <x:v>Q1:23</x:v>
      </x:c>
      <x:c r="M5" s="47" t="str">
        <x:f>'Base Case'!M4</x:f>
        <x:v>Q2:23</x:v>
      </x:c>
      <x:c r="N5" s="47" t="str">
        <x:f>'Base Case'!N4</x:f>
        <x:v>Q3:23</x:v>
      </x:c>
      <x:c r="O5" s="47" t="str">
        <x:f>'Base Case'!O4</x:f>
        <x:v>Q4:23</x:v>
      </x:c>
      <x:c r="P5" s="47" t="str">
        <x:f>'Base Case'!P4</x:f>
        <x:v>Q1:24</x:v>
      </x:c>
      <x:c r="Q5" s="47" t="str">
        <x:f>'Base Case'!Q4</x:f>
        <x:v>Q2:24</x:v>
      </x:c>
      <x:c r="R5" s="47" t="str">
        <x:f>'Base Case'!R4</x:f>
        <x:v>Q3:24</x:v>
      </x:c>
      <x:c r="S5" s="47" t="str">
        <x:f>'Base Case'!S4</x:f>
        <x:v>Q4:24</x:v>
      </x:c>
      <x:c r="T5" s="47" t="str">
        <x:f>'Base Case'!T4</x:f>
        <x:v>Q1:25</x:v>
      </x:c>
      <x:c r="U5" s="47" t="str">
        <x:f>'Base Case'!U4</x:f>
        <x:v>Q2:25</x:v>
      </x:c>
      <x:c r="V5" s="47" t="str">
        <x:f>'Base Case'!V4</x:f>
        <x:v>Q3:25</x:v>
      </x:c>
      <x:c r="W5" s="47" t="str">
        <x:f>'Base Case'!W4</x:f>
        <x:v>Q4:25</x:v>
      </x:c>
      <x:c r="X5" s="47" t="str">
        <x:f>'Base Case'!X4</x:f>
        <x:v>Q1:26</x:v>
      </x:c>
      <x:c r="Y5" s="47" t="str">
        <x:f>'Base Case'!Y4</x:f>
        <x:v>Q2:26</x:v>
      </x:c>
      <x:c r="Z5" s="47" t="str">
        <x:f>'Base Case'!Z4</x:f>
        <x:v>Q3:26</x:v>
      </x:c>
      <x:c r="AA5" s="47" t="str">
        <x:f>'Base Case'!AA4</x:f>
        <x:v>Q4:26</x:v>
      </x:c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ht="21" customHeight="1">
      <x:c r="A7" s="1"/>
      <x:c r="B7" s="1"/>
      <x:c r="C7" s="1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1" customHeight="1">
      <x:c r="A8" s="1"/>
      <x:c r="B8" s="1"/>
      <x:c r="C8" s="1" t="str">
        <x:v>Model assets less liabilities and equity</x:v>
      </x:c>
      <x:c r="D8" s="49" t="n">
        <x:f>'Base Case'!D28-'Base Case'!D38</x:f>
        <x:v>1.1368683772161603e-13</x:v>
      </x:c>
      <x:c r="E8" s="49" t="n">
        <x:f>'Base Case'!E28-'Base Case'!E38</x:f>
        <x:v>0</x:v>
      </x:c>
      <x:c r="F8" s="49" t="n">
        <x:f>'Base Case'!F28-'Base Case'!F38</x:f>
        <x:v>1.1368683772161603e-13</x:v>
      </x:c>
      <x:c r="G8" s="49" t="n">
        <x:f>'Base Case'!G28-'Base Case'!G38</x:f>
        <x:v>0</x:v>
      </x:c>
      <x:c r="H8" s="49" t="n">
        <x:f>'Base Case'!H28-'Base Case'!H38</x:f>
        <x:v>1.1368683772161603e-13</x:v>
      </x:c>
      <x:c r="I8" s="49" t="n">
        <x:f>'Base Case'!I28-'Base Case'!I38</x:f>
        <x:v>1.1368683772161603e-13</x:v>
      </x:c>
      <x:c r="J8" s="49" t="n">
        <x:f>'Base Case'!J28-'Base Case'!J38</x:f>
        <x:v>0</x:v>
      </x:c>
      <x:c r="K8" s="49" t="n">
        <x:f>'Base Case'!K28-'Base Case'!K38</x:f>
        <x:v>0</x:v>
      </x:c>
      <x:c r="L8" s="49" t="n">
        <x:f>'Base Case'!L28-'Base Case'!L38</x:f>
        <x:v>1.1368683772161603e-13</x:v>
      </x:c>
      <x:c r="M8" s="49" t="n">
        <x:f>'Base Case'!M28-'Base Case'!M38</x:f>
        <x:v>0</x:v>
      </x:c>
      <x:c r="N8" s="49" t="n">
        <x:f>'Base Case'!N28-'Base Case'!N38</x:f>
        <x:v>0</x:v>
      </x:c>
      <x:c r="O8" s="49" t="n">
        <x:f>'Base Case'!O28-'Base Case'!O38</x:f>
        <x:v>0</x:v>
      </x:c>
      <x:c r="P8" s="49" t="n">
        <x:f>'Base Case'!P28-'Base Case'!P38</x:f>
        <x:v>0</x:v>
      </x:c>
      <x:c r="Q8" s="49" t="n">
        <x:f>'Base Case'!Q28-'Base Case'!Q38</x:f>
        <x:v>0</x:v>
      </x:c>
      <x:c r="R8" s="49" t="n">
        <x:f>'Base Case'!R28-'Base Case'!R38</x:f>
        <x:v>0</x:v>
      </x:c>
      <x:c r="S8" s="49" t="n">
        <x:f>'Base Case'!S28-'Base Case'!S38</x:f>
        <x:v>0</x:v>
      </x:c>
      <x:c r="T8" s="49" t="n">
        <x:f>'Base Case'!T28-'Base Case'!T38</x:f>
        <x:v>-2.2737367544323206e-13</x:v>
      </x:c>
      <x:c r="U8" s="49" t="n">
        <x:f>'Base Case'!U28-'Base Case'!U38</x:f>
        <x:v>2.2737367544323206e-13</x:v>
      </x:c>
      <x:c r="V8" s="49" t="n">
        <x:f>'Base Case'!V28-'Base Case'!V38</x:f>
        <x:v>2.2737367544323206e-13</x:v>
      </x:c>
      <x:c r="W8" s="49" t="n">
        <x:f>'Base Case'!W28-'Base Case'!W38</x:f>
        <x:v>2.2737367544323206e-13</x:v>
      </x:c>
      <x:c r="X8" s="49" t="n">
        <x:f>'Base Case'!X28-'Base Case'!X38</x:f>
        <x:v>0</x:v>
      </x:c>
      <x:c r="Y8" s="49" t="n">
        <x:f>'Base Case'!Y28-'Base Case'!Y38</x:f>
        <x:v>0</x:v>
      </x:c>
      <x:c r="Z8" s="49" t="n">
        <x:f>'Base Case'!Z28-'Base Case'!Z38</x:f>
        <x:v>0</x:v>
      </x:c>
      <x:c r="AA8" s="49" t="n">
        <x:f>'Base Case'!AA28-'Base Case'!AA38</x:f>
        <x:v>2.2737367544323206e-13</x:v>
      </x:c>
    </x:row>
    <x:row r="9" ht="21" customHeight="1">
      <x:c r="A9" s="1"/>
      <x:c r="B9" s="1"/>
      <x:c r="C9" s="1" t="str">
        <x:v>Cash balance less cash-flow closing cash</x:v>
      </x:c>
      <x:c r="D9" s="49" t="n">
        <x:f>'Base Case'!D23-'Base Case'!D55</x:f>
        <x:v>0</x:v>
      </x:c>
      <x:c r="E9" s="49" t="n">
        <x:f>'Base Case'!E23-'Base Case'!E55</x:f>
        <x:v>0</x:v>
      </x:c>
      <x:c r="F9" s="49" t="n">
        <x:f>'Base Case'!F23-'Base Case'!F55</x:f>
        <x:v>0</x:v>
      </x:c>
      <x:c r="G9" s="49" t="n">
        <x:f>'Base Case'!G23-'Base Case'!G55</x:f>
        <x:v>0</x:v>
      </x:c>
      <x:c r="H9" s="49" t="n">
        <x:f>'Base Case'!H23-'Base Case'!H55</x:f>
        <x:v>0</x:v>
      </x:c>
      <x:c r="I9" s="49" t="n">
        <x:f>'Base Case'!I23-'Base Case'!I55</x:f>
        <x:v>0</x:v>
      </x:c>
      <x:c r="J9" s="49" t="n">
        <x:f>'Base Case'!J23-'Base Case'!J55</x:f>
        <x:v>0</x:v>
      </x:c>
      <x:c r="K9" s="49" t="n">
        <x:f>'Base Case'!K23-'Base Case'!K55</x:f>
        <x:v>0</x:v>
      </x:c>
      <x:c r="L9" s="49" t="n">
        <x:f>'Base Case'!L23-'Base Case'!L55</x:f>
        <x:v>0</x:v>
      </x:c>
      <x:c r="M9" s="49" t="n">
        <x:f>'Base Case'!M23-'Base Case'!M55</x:f>
        <x:v>0</x:v>
      </x:c>
      <x:c r="N9" s="49" t="n">
        <x:f>'Base Case'!N23-'Base Case'!N55</x:f>
        <x:v>0</x:v>
      </x:c>
      <x:c r="O9" s="49" t="n">
        <x:f>'Base Case'!O23-'Base Case'!O55</x:f>
        <x:v>0</x:v>
      </x:c>
      <x:c r="P9" s="49" t="n">
        <x:f>'Base Case'!P23-'Base Case'!P55</x:f>
        <x:v>0</x:v>
      </x:c>
      <x:c r="Q9" s="49" t="n">
        <x:f>'Base Case'!Q23-'Base Case'!Q55</x:f>
        <x:v>0</x:v>
      </x:c>
      <x:c r="R9" s="49" t="n">
        <x:f>'Base Case'!R23-'Base Case'!R55</x:f>
        <x:v>0</x:v>
      </x:c>
      <x:c r="S9" s="49" t="n">
        <x:f>'Base Case'!S23-'Base Case'!S55</x:f>
        <x:v>0</x:v>
      </x:c>
      <x:c r="T9" s="49" t="n">
        <x:f>'Base Case'!T23-'Base Case'!T55</x:f>
        <x:v>0</x:v>
      </x:c>
      <x:c r="U9" s="49" t="n">
        <x:f>'Base Case'!U23-'Base Case'!U55</x:f>
        <x:v>0</x:v>
      </x:c>
      <x:c r="V9" s="49" t="n">
        <x:f>'Base Case'!V23-'Base Case'!V55</x:f>
        <x:v>0</x:v>
      </x:c>
      <x:c r="W9" s="49" t="n">
        <x:f>'Base Case'!W23-'Base Case'!W55</x:f>
        <x:v>0</x:v>
      </x:c>
      <x:c r="X9" s="49" t="n">
        <x:f>'Base Case'!X23-'Base Case'!X55</x:f>
        <x:v>0</x:v>
      </x:c>
      <x:c r="Y9" s="49" t="n">
        <x:f>'Base Case'!Y23-'Base Case'!Y55</x:f>
        <x:v>0</x:v>
      </x:c>
      <x:c r="Z9" s="49" t="n">
        <x:f>'Base Case'!Z23-'Base Case'!Z55</x:f>
        <x:v>0</x:v>
      </x:c>
      <x:c r="AA9" s="49" t="n">
        <x:f>'Base Case'!AA23-'Base Case'!AA55</x:f>
        <x:v>0</x:v>
      </x:c>
    </x:row>
    <x:row r="10" ht="21" customHeight="1">
      <x:c r="A10" s="1"/>
      <x:c r="B10" s="1"/>
      <x:c r="C10" s="1" t="str">
        <x:v>Cash-flow categories less change in cash</x:v>
      </x:c>
      <x:c r="D10" s="49" t="n">
        <x:f>SUM('Base Case'!D46,'Base Case'!D48,'Base Case'!D52)-'Base Case'!D53</x:f>
        <x:v>0</x:v>
      </x:c>
      <x:c r="E10" s="49" t="n">
        <x:f>SUM('Base Case'!E46,'Base Case'!E48,'Base Case'!E52)-'Base Case'!E53</x:f>
        <x:v>0</x:v>
      </x:c>
      <x:c r="F10" s="49" t="n">
        <x:f>SUM('Base Case'!F46,'Base Case'!F48,'Base Case'!F52)-'Base Case'!F53</x:f>
        <x:v>0</x:v>
      </x:c>
      <x:c r="G10" s="49" t="n">
        <x:f>SUM('Base Case'!G46,'Base Case'!G48,'Base Case'!G52)-'Base Case'!G53</x:f>
        <x:v>0</x:v>
      </x:c>
      <x:c r="H10" s="49" t="n">
        <x:f>SUM('Base Case'!H46,'Base Case'!H48,'Base Case'!H52)-'Base Case'!H53</x:f>
        <x:v>0</x:v>
      </x:c>
      <x:c r="I10" s="49" t="n">
        <x:f>SUM('Base Case'!I46,'Base Case'!I48,'Base Case'!I52)-'Base Case'!I53</x:f>
        <x:v>0</x:v>
      </x:c>
      <x:c r="J10" s="49" t="n">
        <x:f>SUM('Base Case'!J46,'Base Case'!J48,'Base Case'!J52)-'Base Case'!J53</x:f>
        <x:v>0</x:v>
      </x:c>
      <x:c r="K10" s="49" t="n">
        <x:f>SUM('Base Case'!K46,'Base Case'!K48,'Base Case'!K52)-'Base Case'!K53</x:f>
        <x:v>0</x:v>
      </x:c>
      <x:c r="L10" s="49" t="n">
        <x:f>SUM('Base Case'!L46,'Base Case'!L48,'Base Case'!L52)-'Base Case'!L53</x:f>
        <x:v>0</x:v>
      </x:c>
      <x:c r="M10" s="49" t="n">
        <x:f>SUM('Base Case'!M46,'Base Case'!M48,'Base Case'!M52)-'Base Case'!M53</x:f>
        <x:v>0</x:v>
      </x:c>
      <x:c r="N10" s="49" t="n">
        <x:f>SUM('Base Case'!N46,'Base Case'!N48,'Base Case'!N52)-'Base Case'!N53</x:f>
        <x:v>0</x:v>
      </x:c>
      <x:c r="O10" s="49" t="n">
        <x:f>SUM('Base Case'!O46,'Base Case'!O48,'Base Case'!O52)-'Base Case'!O53</x:f>
        <x:v>0</x:v>
      </x:c>
      <x:c r="P10" s="49" t="n">
        <x:f>SUM('Base Case'!P46,'Base Case'!P48,'Base Case'!P52)-'Base Case'!P53</x:f>
        <x:v>0</x:v>
      </x:c>
      <x:c r="Q10" s="49" t="n">
        <x:f>SUM('Base Case'!Q46,'Base Case'!Q48,'Base Case'!Q52)-'Base Case'!Q53</x:f>
        <x:v>0</x:v>
      </x:c>
      <x:c r="R10" s="49" t="n">
        <x:f>SUM('Base Case'!R46,'Base Case'!R48,'Base Case'!R52)-'Base Case'!R53</x:f>
        <x:v>0</x:v>
      </x:c>
      <x:c r="S10" s="49" t="n">
        <x:f>SUM('Base Case'!S46,'Base Case'!S48,'Base Case'!S52)-'Base Case'!S53</x:f>
        <x:v>0</x:v>
      </x:c>
      <x:c r="T10" s="49" t="n">
        <x:f>SUM('Base Case'!T46,'Base Case'!T48,'Base Case'!T52)-'Base Case'!T53</x:f>
        <x:v>0</x:v>
      </x:c>
      <x:c r="U10" s="49" t="n">
        <x:f>SUM('Base Case'!U46,'Base Case'!U48,'Base Case'!U52)-'Base Case'!U53</x:f>
        <x:v>0</x:v>
      </x:c>
      <x:c r="V10" s="49" t="n">
        <x:f>SUM('Base Case'!V46,'Base Case'!V48,'Base Case'!V52)-'Base Case'!V53</x:f>
        <x:v>0</x:v>
      </x:c>
      <x:c r="W10" s="49" t="n">
        <x:f>SUM('Base Case'!W46,'Base Case'!W48,'Base Case'!W52)-'Base Case'!W53</x:f>
        <x:v>0</x:v>
      </x:c>
      <x:c r="X10" s="49" t="n">
        <x:f>SUM('Base Case'!X46,'Base Case'!X48,'Base Case'!X52)-'Base Case'!X53</x:f>
        <x:v>0</x:v>
      </x:c>
      <x:c r="Y10" s="49" t="n">
        <x:f>SUM('Base Case'!Y46,'Base Case'!Y48,'Base Case'!Y52)-'Base Case'!Y53</x:f>
        <x:v>0</x:v>
      </x:c>
      <x:c r="Z10" s="49" t="n">
        <x:f>SUM('Base Case'!Z46,'Base Case'!Z48,'Base Case'!Z52)-'Base Case'!Z53</x:f>
        <x:v>0</x:v>
      </x:c>
      <x:c r="AA10" s="49" t="n">
        <x:f>SUM('Base Case'!AA46,'Base Case'!AA48,'Base Case'!AA52)-'Base Case'!AA53</x:f>
        <x:v>0</x:v>
      </x:c>
    </x:row>
    <x:row r="11" ht="21" customHeight="1">
      <x:c r="A11" s="1"/>
      <x:c r="B11" s="1"/>
      <x:c r="C11" s="1" t="str">
        <x:v>Opening cash plus change less closing</x:v>
      </x:c>
      <x:c r="D11" s="49" t="n">
        <x:f>'Base Case'!D54+'Base Case'!D53-'Base Case'!D55</x:f>
        <x:v>0</x:v>
      </x:c>
      <x:c r="E11" s="49" t="n">
        <x:f>'Base Case'!E54+'Base Case'!E53-'Base Case'!E55</x:f>
        <x:v>0</x:v>
      </x:c>
      <x:c r="F11" s="49" t="n">
        <x:f>'Base Case'!F54+'Base Case'!F53-'Base Case'!F55</x:f>
        <x:v>0</x:v>
      </x:c>
      <x:c r="G11" s="49" t="n">
        <x:f>'Base Case'!G54+'Base Case'!G53-'Base Case'!G55</x:f>
        <x:v>0</x:v>
      </x:c>
      <x:c r="H11" s="49" t="n">
        <x:f>'Base Case'!H54+'Base Case'!H53-'Base Case'!H55</x:f>
        <x:v>-1.4210854715202004e-14</x:v>
      </x:c>
      <x:c r="I11" s="49" t="n">
        <x:f>'Base Case'!I54+'Base Case'!I53-'Base Case'!I55</x:f>
        <x:v>0</x:v>
      </x:c>
      <x:c r="J11" s="49" t="n">
        <x:f>'Base Case'!J54+'Base Case'!J53-'Base Case'!J55</x:f>
        <x:v>-1.4210854715202004e-14</x:v>
      </x:c>
      <x:c r="K11" s="49" t="n">
        <x:f>'Base Case'!K54+'Base Case'!K53-'Base Case'!K55</x:f>
        <x:v>0</x:v>
      </x:c>
      <x:c r="L11" s="49" t="n">
        <x:f>'Base Case'!L54+'Base Case'!L53-'Base Case'!L55</x:f>
        <x:v>0</x:v>
      </x:c>
      <x:c r="M11" s="49" t="n">
        <x:f>'Base Case'!M54+'Base Case'!M53-'Base Case'!M55</x:f>
        <x:v>2.842170943040401e-14</x:v>
      </x:c>
      <x:c r="N11" s="49" t="n">
        <x:f>'Base Case'!N54+'Base Case'!N53-'Base Case'!N55</x:f>
        <x:v>0</x:v>
      </x:c>
      <x:c r="O11" s="49" t="n">
        <x:f>'Base Case'!O54+'Base Case'!O53-'Base Case'!O55</x:f>
        <x:v>0</x:v>
      </x:c>
      <x:c r="P11" s="49" t="n">
        <x:f>'Base Case'!P54+'Base Case'!P53-'Base Case'!P55</x:f>
        <x:v>0</x:v>
      </x:c>
      <x:c r="Q11" s="49" t="n">
        <x:f>'Base Case'!Q54+'Base Case'!Q53-'Base Case'!Q55</x:f>
        <x:v>0</x:v>
      </x:c>
      <x:c r="R11" s="49" t="n">
        <x:f>'Base Case'!R54+'Base Case'!R53-'Base Case'!R55</x:f>
        <x:v>0</x:v>
      </x:c>
      <x:c r="S11" s="49" t="n">
        <x:f>'Base Case'!S54+'Base Case'!S53-'Base Case'!S55</x:f>
        <x:v>0</x:v>
      </x:c>
      <x:c r="T11" s="49" t="n">
        <x:f>'Base Case'!T54+'Base Case'!T53-'Base Case'!T55</x:f>
        <x:v>0</x:v>
      </x:c>
      <x:c r="U11" s="49" t="n">
        <x:f>'Base Case'!U54+'Base Case'!U53-'Base Case'!U55</x:f>
        <x:v>0</x:v>
      </x:c>
      <x:c r="V11" s="49" t="n">
        <x:f>'Base Case'!V54+'Base Case'!V53-'Base Case'!V55</x:f>
        <x:v>0</x:v>
      </x:c>
      <x:c r="W11" s="49" t="n">
        <x:f>'Base Case'!W54+'Base Case'!W53-'Base Case'!W55</x:f>
        <x:v>0</x:v>
      </x:c>
      <x:c r="X11" s="49" t="n">
        <x:f>'Base Case'!X54+'Base Case'!X53-'Base Case'!X55</x:f>
        <x:v>0</x:v>
      </x:c>
      <x:c r="Y11" s="49" t="n">
        <x:f>'Base Case'!Y54+'Base Case'!Y53-'Base Case'!Y55</x:f>
        <x:v>0</x:v>
      </x:c>
      <x:c r="Z11" s="49" t="n">
        <x:f>'Base Case'!Z54+'Base Case'!Z53-'Base Case'!Z55</x:f>
        <x:v>0</x:v>
      </x:c>
      <x:c r="AA11" s="49" t="n">
        <x:f>'Base Case'!AA54+'Base Case'!AA53-'Base Case'!AA55</x:f>
        <x:v>0</x:v>
      </x:c>
    </x:row>
    <x:row r="12" ht="21" customHeight="1">
      <x:c r="A12" s="1"/>
      <x:c r="B12" s="1"/>
      <x:c r="C12" s="1" t="str">
        <x:v>Retained earnings roll-forward residual</x:v>
      </x:c>
      <x:c r="D12" s="49" t="str">
        <x:v>n.a.</x:v>
      </x:c>
      <x:c r="E12" s="49" t="n">
        <x:f>'Base Case'!E36-'Base Case'!D36-'Base Case'!E20-'Base Case'!E51</x:f>
        <x:v>-1.0658141036401503e-14</x:v>
      </x:c>
      <x:c r="F12" s="49" t="n">
        <x:f>'Base Case'!F36-'Base Case'!E36-'Base Case'!F20-'Base Case'!F51</x:f>
        <x:v>-7.105427357601002e-15</x:v>
      </x:c>
      <x:c r="G12" s="49" t="n">
        <x:f>'Base Case'!G36-'Base Case'!F36-'Base Case'!G20-'Base Case'!G51</x:f>
        <x:v>1.0658141036401503e-14</x:v>
      </x:c>
      <x:c r="H12" s="49" t="n">
        <x:f>'Base Case'!H36-'Base Case'!G36-'Base Case'!H20-'Base Case'!H51</x:f>
        <x:v>-1.4210854715202004e-14</x:v>
      </x:c>
      <x:c r="I12" s="49" t="n">
        <x:f>'Base Case'!I36-'Base Case'!H36-'Base Case'!I20-'Base Case'!I51</x:f>
        <x:v>1.4210854715202004e-14</x:v>
      </x:c>
      <x:c r="J12" s="49" t="n">
        <x:f>'Base Case'!J36-'Base Case'!I36-'Base Case'!J20-'Base Case'!J51</x:f>
        <x:v>-7.105427357601002e-15</x:v>
      </x:c>
      <x:c r="K12" s="49" t="n">
        <x:f>'Base Case'!K36-'Base Case'!J36-'Base Case'!K20-'Base Case'!K51</x:f>
        <x:v>3.552713678800501e-15</x:v>
      </x:c>
      <x:c r="L12" s="49" t="n">
        <x:f>'Base Case'!L36-'Base Case'!K36-'Base Case'!L20-'Base Case'!L51</x:f>
        <x:v>1.0658141036401503e-14</x:v>
      </x:c>
      <x:c r="M12" s="49" t="n">
        <x:f>'Base Case'!M36-'Base Case'!L36-'Base Case'!M20-'Base Case'!M51</x:f>
        <x:v>-3.552713678800501e-14</x:v>
      </x:c>
      <x:c r="N12" s="49" t="n">
        <x:f>'Base Case'!N36-'Base Case'!M36-'Base Case'!N20-'Base Case'!N51</x:f>
        <x:v>4.618527782440651e-14</x:v>
      </x:c>
      <x:c r="O12" s="49" t="n">
        <x:f>'Base Case'!O36-'Base Case'!N36-'Base Case'!O20-'Base Case'!O51</x:f>
        <x:v>-2.1316282072803006e-14</x:v>
      </x:c>
      <x:c r="P12" s="49" t="n">
        <x:f>'Base Case'!P36-'Base Case'!O36-'Base Case'!P20-'Base Case'!P51</x:f>
        <x:v>-2.1316282072803006e-14</x:v>
      </x:c>
      <x:c r="Q12" s="49" t="n">
        <x:f>'Base Case'!Q36-'Base Case'!P36-'Base Case'!Q20-'Base Case'!Q51</x:f>
        <x:v>-7.105427357601002e-15</x:v>
      </x:c>
      <x:c r="R12" s="49" t="n">
        <x:f>'Base Case'!R36-'Base Case'!Q36-'Base Case'!R20-'Base Case'!R51</x:f>
        <x:v>0</x:v>
      </x:c>
      <x:c r="S12" s="49" t="n">
        <x:f>'Base Case'!S36-'Base Case'!R36-'Base Case'!S20-'Base Case'!S51</x:f>
        <x:v>4.973799150320701e-14</x:v>
      </x:c>
      <x:c r="T12" s="49" t="n">
        <x:f>'Base Case'!T36-'Base Case'!S36-'Base Case'!T20-'Base Case'!T51</x:f>
        <x:v>1.4210854715202004e-14</x:v>
      </x:c>
      <x:c r="U12" s="49" t="n">
        <x:f>'Base Case'!U36-'Base Case'!T36-'Base Case'!U20-'Base Case'!U51</x:f>
        <x:v>2.842170943040401e-14</x:v>
      </x:c>
      <x:c r="V12" s="49" t="n">
        <x:f>'Base Case'!V36-'Base Case'!U36-'Base Case'!V20-'Base Case'!V51</x:f>
        <x:v>7.105427357601002e-15</x:v>
      </x:c>
      <x:c r="W12" s="49" t="n">
        <x:f>'Base Case'!W36-'Base Case'!V36-'Base Case'!W20-'Base Case'!W51</x:f>
        <x:v>-3.552713678800501e-14</x:v>
      </x:c>
      <x:c r="X12" s="49" t="n">
        <x:f>'Base Case'!X36-'Base Case'!W36-'Base Case'!X20-'Base Case'!X51</x:f>
        <x:v>2.842170943040401e-14</x:v>
      </x:c>
      <x:c r="Y12" s="49" t="n">
        <x:f>'Base Case'!Y36-'Base Case'!X36-'Base Case'!Y20-'Base Case'!Y51</x:f>
        <x:v>1.4210854715202004e-14</x:v>
      </x:c>
      <x:c r="Z12" s="49" t="n">
        <x:f>'Base Case'!Z36-'Base Case'!Y36-'Base Case'!Z20-'Base Case'!Z51</x:f>
        <x:v>2.842170943040401e-14</x:v>
      </x:c>
      <x:c r="AA12" s="49" t="n">
        <x:f>'Base Case'!AA36-'Base Case'!Z36-'Base Case'!AA20-'Base Case'!AA51</x:f>
        <x:v>-7.105427357601002e-15</x:v>
      </x:c>
    </x:row>
    <x:row r="13" ht="21" customHeight="1">
      <x:c r="A13" s="1"/>
      <x:c r="B13" s="1"/>
      <x:c r="C13" s="1" t="str">
        <x:v>PPE roll-forward residual</x:v>
      </x:c>
      <x:c r="D13" s="49" t="str">
        <x:v>n.a.</x:v>
      </x:c>
      <x:c r="E13" s="49" t="str">
        <x:v>n.a.</x:v>
      </x:c>
      <x:c r="F13" s="49" t="str">
        <x:v>n.a.</x:v>
      </x:c>
      <x:c r="G13" s="49" t="str">
        <x:v>n.a.</x:v>
      </x:c>
      <x:c r="H13" s="49" t="str">
        <x:v>n.a.</x:v>
      </x:c>
      <x:c r="I13" s="49" t="str">
        <x:v>n.a.</x:v>
      </x:c>
      <x:c r="J13" s="49" t="str">
        <x:v>n.a.</x:v>
      </x:c>
      <x:c r="K13" s="49" t="str">
        <x:v>n.a.</x:v>
      </x:c>
      <x:c r="L13" s="49" t="str">
        <x:v>n.a.</x:v>
      </x:c>
      <x:c r="M13" s="49" t="str">
        <x:v>n.a.</x:v>
      </x:c>
      <x:c r="N13" s="49" t="str">
        <x:v>n.a.</x:v>
      </x:c>
      <x:c r="O13" s="49" t="str">
        <x:v>n.a.</x:v>
      </x:c>
      <x:c r="P13" s="49" t="n">
        <x:f>'Base Case'!P27-'Base Case'!P58-'Base Case'!P59+'Base Case'!P62</x:f>
        <x:v>1.5987211554602254e-14</x:v>
      </x:c>
      <x:c r="Q13" s="49" t="n">
        <x:f>'Base Case'!Q27-'Base Case'!Q58-'Base Case'!Q59+'Base Case'!Q62</x:f>
        <x:v>-7.105427357601002e-15</x:v>
      </x:c>
      <x:c r="R13" s="49" t="n">
        <x:f>'Base Case'!R27-'Base Case'!R58-'Base Case'!R59+'Base Case'!R62</x:f>
        <x:v>-1.4210854715202004e-14</x:v>
      </x:c>
      <x:c r="S13" s="49" t="n">
        <x:f>'Base Case'!S27-'Base Case'!S58-'Base Case'!S59+'Base Case'!S62</x:f>
        <x:v>-3.197442310920451e-14</x:v>
      </x:c>
      <x:c r="T13" s="49" t="n">
        <x:f>'Base Case'!T27-'Base Case'!T58-'Base Case'!T59+'Base Case'!T62</x:f>
        <x:v>4.263256414560601e-14</x:v>
      </x:c>
      <x:c r="U13" s="49" t="n">
        <x:f>'Base Case'!U27-'Base Case'!U58-'Base Case'!U59+'Base Case'!U62</x:f>
        <x:v>6.750155989720952e-14</x:v>
      </x:c>
      <x:c r="V13" s="49" t="n">
        <x:f>'Base Case'!V27-'Base Case'!V58-'Base Case'!V59+'Base Case'!V62</x:f>
        <x:v>7.815970093361102e-14</x:v>
      </x:c>
      <x:c r="W13" s="49" t="n">
        <x:f>'Base Case'!W27-'Base Case'!W58-'Base Case'!W59+'Base Case'!W62</x:f>
        <x:v>-3.552713678800501e-15</x:v>
      </x:c>
      <x:c r="X13" s="49" t="n">
        <x:f>'Base Case'!X27-'Base Case'!X58-'Base Case'!X59+'Base Case'!X62</x:f>
        <x:v>-7.460698725481052e-14</x:v>
      </x:c>
      <x:c r="Y13" s="49" t="n">
        <x:f>'Base Case'!Y27-'Base Case'!Y58-'Base Case'!Y59+'Base Case'!Y62</x:f>
        <x:v>9.237055564881302e-14</x:v>
      </x:c>
      <x:c r="Z13" s="49" t="n">
        <x:f>'Base Case'!Z27-'Base Case'!Z58-'Base Case'!Z59+'Base Case'!Z62</x:f>
        <x:v>-4.263256414560601e-14</x:v>
      </x:c>
      <x:c r="AA13" s="49" t="n">
        <x:f>'Base Case'!AA27-'Base Case'!AA58-'Base Case'!AA59+'Base Case'!AA62</x:f>
        <x:v>2.1316282072803006e-14</x:v>
      </x:c>
    </x:row>
    <x:row r="14" ht="21" customHeight="1">
      <x:c r="A14" s="1"/>
      <x:c r="B14" s="1"/>
      <x:c r="C14" s="1" t="str">
        <x:v>Debt roll-forward residual</x:v>
      </x:c>
      <x:c r="D14" s="49" t="n">
        <x:f>'Base Case'!D66-'Base Case'!D63-'Base Case'!D49</x:f>
        <x:v>0</x:v>
      </x:c>
      <x:c r="E14" s="49" t="n">
        <x:f>'Base Case'!E66-'Base Case'!E63-'Base Case'!E49</x:f>
        <x:v>1.1324274851176597e-14</x:v>
      </x:c>
      <x:c r="F14" s="49" t="n">
        <x:f>'Base Case'!F66-'Base Case'!F63-'Base Case'!F49</x:f>
        <x:v>-2.275957200481571e-14</x:v>
      </x:c>
      <x:c r="G14" s="49" t="n">
        <x:f>'Base Case'!G66-'Base Case'!G63-'Base Case'!G49</x:f>
        <x:v>1.1546319456101628e-14</x:v>
      </x:c>
      <x:c r="H14" s="49" t="n">
        <x:f>'Base Case'!H66-'Base Case'!H63-'Base Case'!H49</x:f>
        <x:v>-2.3092638912203256e-14</x:v>
      </x:c>
      <x:c r="I14" s="49" t="n">
        <x:f>'Base Case'!I66-'Base Case'!I63-'Base Case'!I49</x:f>
        <x:v>3.419486915845482e-14</x:v>
      </x:c>
      <x:c r="J14" s="49" t="n">
        <x:f>'Base Case'!J66-'Base Case'!J63-'Base Case'!J49</x:f>
        <x:v>-1.1546319456101628e-14</x:v>
      </x:c>
      <x:c r="K14" s="49" t="n">
        <x:f>'Base Case'!K66-'Base Case'!K63-'Base Case'!K49</x:f>
        <x:v>0</x:v>
      </x:c>
      <x:c r="L14" s="49" t="n">
        <x:f>'Base Case'!L66-'Base Case'!L63-'Base Case'!L49</x:f>
        <x:v>0</x:v>
      </x:c>
      <x:c r="M14" s="49" t="n">
        <x:f>'Base Case'!M66-'Base Case'!M63-'Base Case'!M49</x:f>
        <x:v>0</x:v>
      </x:c>
      <x:c r="N14" s="49" t="n">
        <x:f>'Base Case'!N66-'Base Case'!N63-'Base Case'!N49</x:f>
        <x:v>0</x:v>
      </x:c>
      <x:c r="O14" s="49" t="n">
        <x:f>'Base Case'!O66-'Base Case'!O63-'Base Case'!O49</x:f>
        <x:v>0</x:v>
      </x:c>
      <x:c r="P14" s="49" t="n">
        <x:f>'Base Case'!P66-'Base Case'!P63-'Base Case'!P49</x:f>
        <x:v>0</x:v>
      </x:c>
      <x:c r="Q14" s="49" t="n">
        <x:f>'Base Case'!Q66-'Base Case'!Q63-'Base Case'!Q49</x:f>
        <x:v>0</x:v>
      </x:c>
      <x:c r="R14" s="49" t="n">
        <x:f>'Base Case'!R66-'Base Case'!R63-'Base Case'!R49</x:f>
        <x:v>0</x:v>
      </x:c>
      <x:c r="S14" s="49" t="n">
        <x:f>'Base Case'!S66-'Base Case'!S63-'Base Case'!S49</x:f>
        <x:v>0</x:v>
      </x:c>
      <x:c r="T14" s="49" t="n">
        <x:f>'Base Case'!T66-'Base Case'!T63-'Base Case'!T49</x:f>
        <x:v>0</x:v>
      </x:c>
      <x:c r="U14" s="49" t="n">
        <x:f>'Base Case'!U66-'Base Case'!U63-'Base Case'!U49</x:f>
        <x:v>0</x:v>
      </x:c>
      <x:c r="V14" s="49" t="n">
        <x:f>'Base Case'!V66-'Base Case'!V63-'Base Case'!V49</x:f>
        <x:v>0</x:v>
      </x:c>
      <x:c r="W14" s="49" t="n">
        <x:f>'Base Case'!W66-'Base Case'!W63-'Base Case'!W49</x:f>
        <x:v>0</x:v>
      </x:c>
      <x:c r="X14" s="49" t="n">
        <x:f>'Base Case'!X66-'Base Case'!X63-'Base Case'!X49</x:f>
        <x:v>0</x:v>
      </x:c>
      <x:c r="Y14" s="49" t="n">
        <x:f>'Base Case'!Y66-'Base Case'!Y63-'Base Case'!Y49</x:f>
        <x:v>0</x:v>
      </x:c>
      <x:c r="Z14" s="49" t="n">
        <x:f>'Base Case'!Z66-'Base Case'!Z63-'Base Case'!Z49</x:f>
        <x:v>0</x:v>
      </x:c>
      <x:c r="AA14" s="49" t="n">
        <x:f>'Base Case'!AA66-'Base Case'!AA63-'Base Case'!AA49</x:f>
        <x:v>0</x:v>
      </x:c>
    </x:row>
    <x:row r="15" ht="21" customHeight="1">
      <x:c r="A15" s="1"/>
      <x:c r="B15" s="1"/>
      <x:c r="C15" s="1" t="str">
        <x:v>Cash below zero</x:v>
      </x:c>
      <x:c r="D15" s="49" t="n">
        <x:f>MIN('Base Case'!D23,0)</x:f>
        <x:v>0</x:v>
      </x:c>
      <x:c r="E15" s="49" t="n">
        <x:f>MIN('Base Case'!E23,0)</x:f>
        <x:v>0</x:v>
      </x:c>
      <x:c r="F15" s="49" t="n">
        <x:f>MIN('Base Case'!F23,0)</x:f>
        <x:v>0</x:v>
      </x:c>
      <x:c r="G15" s="49" t="n">
        <x:f>MIN('Base Case'!G23,0)</x:f>
        <x:v>0</x:v>
      </x:c>
      <x:c r="H15" s="49" t="n">
        <x:f>MIN('Base Case'!H23,0)</x:f>
        <x:v>0</x:v>
      </x:c>
      <x:c r="I15" s="49" t="n">
        <x:f>MIN('Base Case'!I23,0)</x:f>
        <x:v>0</x:v>
      </x:c>
      <x:c r="J15" s="49" t="n">
        <x:f>MIN('Base Case'!J23,0)</x:f>
        <x:v>0</x:v>
      </x:c>
      <x:c r="K15" s="49" t="n">
        <x:f>MIN('Base Case'!K23,0)</x:f>
        <x:v>0</x:v>
      </x:c>
      <x:c r="L15" s="49" t="n">
        <x:f>MIN('Base Case'!L23,0)</x:f>
        <x:v>0</x:v>
      </x:c>
      <x:c r="M15" s="49" t="n">
        <x:f>MIN('Base Case'!M23,0)</x:f>
        <x:v>0</x:v>
      </x:c>
      <x:c r="N15" s="49" t="n">
        <x:f>MIN('Base Case'!N23,0)</x:f>
        <x:v>0</x:v>
      </x:c>
      <x:c r="O15" s="49" t="n">
        <x:f>MIN('Base Case'!O23,0)</x:f>
        <x:v>0</x:v>
      </x:c>
      <x:c r="P15" s="49" t="n">
        <x:f>MIN('Base Case'!P23,0)</x:f>
        <x:v>0</x:v>
      </x:c>
      <x:c r="Q15" s="49" t="n">
        <x:f>MIN('Base Case'!Q23,0)</x:f>
        <x:v>0</x:v>
      </x:c>
      <x:c r="R15" s="49" t="n">
        <x:f>MIN('Base Case'!R23,0)</x:f>
        <x:v>0</x:v>
      </x:c>
      <x:c r="S15" s="49" t="n">
        <x:f>MIN('Base Case'!S23,0)</x:f>
        <x:v>0</x:v>
      </x:c>
      <x:c r="T15" s="49" t="n">
        <x:f>MIN('Base Case'!T23,0)</x:f>
        <x:v>0</x:v>
      </x:c>
      <x:c r="U15" s="49" t="n">
        <x:f>MIN('Base Case'!U23,0)</x:f>
        <x:v>0</x:v>
      </x:c>
      <x:c r="V15" s="49" t="n">
        <x:f>MIN('Base Case'!V23,0)</x:f>
        <x:v>0</x:v>
      </x:c>
      <x:c r="W15" s="49" t="n">
        <x:f>MIN('Base Case'!W23,0)</x:f>
        <x:v>0</x:v>
      </x:c>
      <x:c r="X15" s="49" t="n">
        <x:f>MIN('Base Case'!X23,0)</x:f>
        <x:v>0</x:v>
      </x:c>
      <x:c r="Y15" s="49" t="n">
        <x:f>MIN('Base Case'!Y23,0)</x:f>
        <x:v>0</x:v>
      </x:c>
      <x:c r="Z15" s="49" t="n">
        <x:f>MIN('Base Case'!Z23,0)</x:f>
        <x:v>0</x:v>
      </x:c>
      <x:c r="AA15" s="49" t="n">
        <x:f>MIN('Base Case'!AA23,0)</x:f>
        <x:v>0</x:v>
      </x:c>
    </x:row>
    <x:row r="16" ht="21" customHeight="1">
      <x:c r="A16" s="1"/>
      <x:c r="B16" s="1"/>
      <x:c r="C16" s="1" t="str">
        <x:v>Cash operating expense below zero</x:v>
      </x:c>
      <x:c r="D16" s="49" t="str">
        <x:v>n.a.</x:v>
      </x:c>
      <x:c r="E16" s="49" t="str">
        <x:v>n.a.</x:v>
      </x:c>
      <x:c r="F16" s="49" t="str">
        <x:v>n.a.</x:v>
      </x:c>
      <x:c r="G16" s="49" t="str">
        <x:v>n.a.</x:v>
      </x:c>
      <x:c r="H16" s="49" t="str">
        <x:v>n.a.</x:v>
      </x:c>
      <x:c r="I16" s="49" t="str">
        <x:v>n.a.</x:v>
      </x:c>
      <x:c r="J16" s="49" t="str">
        <x:v>n.a.</x:v>
      </x:c>
      <x:c r="K16" s="49" t="str">
        <x:v>n.a.</x:v>
      </x:c>
      <x:c r="L16" s="49" t="str">
        <x:v>n.a.</x:v>
      </x:c>
      <x:c r="M16" s="49" t="str">
        <x:v>n.a.</x:v>
      </x:c>
      <x:c r="N16" s="49" t="str">
        <x:v>n.a.</x:v>
      </x:c>
      <x:c r="O16" s="49" t="str">
        <x:v>n.a.</x:v>
      </x:c>
      <x:c r="P16" s="49" t="n">
        <x:f>MIN('Base Case'!P14,0)</x:f>
        <x:v>0</x:v>
      </x:c>
      <x:c r="Q16" s="49" t="n">
        <x:f>MIN('Base Case'!Q14,0)</x:f>
        <x:v>0</x:v>
      </x:c>
      <x:c r="R16" s="49" t="n">
        <x:f>MIN('Base Case'!R14,0)</x:f>
        <x:v>0</x:v>
      </x:c>
      <x:c r="S16" s="49" t="n">
        <x:f>MIN('Base Case'!S14,0)</x:f>
        <x:v>0</x:v>
      </x:c>
      <x:c r="T16" s="49" t="n">
        <x:f>MIN('Base Case'!T14,0)</x:f>
        <x:v>0</x:v>
      </x:c>
      <x:c r="U16" s="49" t="n">
        <x:f>MIN('Base Case'!U14,0)</x:f>
        <x:v>0</x:v>
      </x:c>
      <x:c r="V16" s="49" t="n">
        <x:f>MIN('Base Case'!V14,0)</x:f>
        <x:v>0</x:v>
      </x:c>
      <x:c r="W16" s="49" t="n">
        <x:f>MIN('Base Case'!W14,0)</x:f>
        <x:v>0</x:v>
      </x:c>
      <x:c r="X16" s="49" t="n">
        <x:f>MIN('Base Case'!X14,0)</x:f>
        <x:v>0</x:v>
      </x:c>
      <x:c r="Y16" s="49" t="n">
        <x:f>MIN('Base Case'!Y14,0)</x:f>
        <x:v>0</x:v>
      </x:c>
      <x:c r="Z16" s="49" t="n">
        <x:f>MIN('Base Case'!Z14,0)</x:f>
        <x:v>0</x:v>
      </x:c>
      <x:c r="AA16" s="49" t="n">
        <x:f>MIN('Base Case'!AA14,0)</x:f>
        <x:v>0</x:v>
      </x:c>
    </x:row>
    <x:row r="17" ht="21" customHeight="1">
      <x:c r="A17" s="1"/>
      <x:c r="B17" s="1"/>
      <x:c r="C17" s="1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  <x:c r="AA17" s="49"/>
    </x:row>
    <x:row r="18" ht="21" customHeight="1">
      <x:c r="A18" s="1"/>
      <x:c r="B18" s="1"/>
      <x:c r="C18" s="1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  <x:c r="AA18" s="49"/>
    </x:row>
    <x:row r="19" ht="21" customHeight="1">
      <x:c r="A19" s="1"/>
      <x:c r="B19" s="1"/>
      <x:c r="C19" s="1" t="str">
        <x:v>Source assets less liabilities and equity</x:v>
      </x:c>
      <x:c r="D19" s="49" t="n">
        <x:f>Source!C18-Source!C27</x:f>
        <x:v>-0.20000000000004547</x:v>
      </x:c>
      <x:c r="E19" s="49" t="n">
        <x:f>Source!D18-Source!D27</x:f>
        <x:v>-0.20000000000004547</x:v>
      </x:c>
      <x:c r="F19" s="49" t="n">
        <x:f>Source!E18-Source!E27</x:f>
        <x:v>-0.20000000000004547</x:v>
      </x:c>
      <x:c r="G19" s="49" t="n">
        <x:f>Source!F18-Source!F27</x:f>
        <x:v>-0.20000000000004547</x:v>
      </x:c>
      <x:c r="H19" s="49" t="n">
        <x:f>Source!G18-Source!G27</x:f>
        <x:v>-0.20000000000004547</x:v>
      </x:c>
      <x:c r="I19" s="49" t="n">
        <x:f>Source!H18-Source!H27</x:f>
        <x:v>-0.1999999999999318</x:v>
      </x:c>
      <x:c r="J19" s="49" t="n">
        <x:f>Source!I18-Source!I27</x:f>
        <x:v>-0.20000000000004547</x:v>
      </x:c>
      <x:c r="K19" s="49" t="n">
        <x:f>Source!J18-Source!J27</x:f>
        <x:v>-0.20000000000004547</x:v>
      </x:c>
      <x:c r="L19" s="49" t="n">
        <x:f>Source!K18-Source!K27</x:f>
        <x:v>-0.20000000000004547</x:v>
      </x:c>
      <x:c r="M19" s="49" t="n">
        <x:f>Source!L18-Source!L27</x:f>
        <x:v>-0.20000000000004547</x:v>
      </x:c>
      <x:c r="N19" s="49" t="n">
        <x:f>Source!M18-Source!M27</x:f>
        <x:v>-0.20000000000004547</x:v>
      </x:c>
      <x:c r="O19" s="49" t="n">
        <x:f>Source!N18-Source!N27</x:f>
        <x:v>-0.20000000000004547</x:v>
      </x:c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  <x:c r="AA19" s="49"/>
    </x:row>
    <x:row r="20" ht="21" customHeight="1">
      <x:c r="A20" s="1"/>
      <x:c r="B20" s="1"/>
      <x:c r="C20" s="1" t="str">
        <x:v>Source cash categories less reported change</x:v>
      </x:c>
      <x:c r="D20" s="49" t="n">
        <x:f>Source!C32+Source!C34+Source!C38-Source!C39</x:f>
        <x:v>7.200000000000003</x:v>
      </x:c>
      <x:c r="E20" s="49" t="n">
        <x:f>Source!D32+Source!D34+Source!D38-Source!D39</x:f>
        <x:v>-8.881784197001252e-16</x:v>
      </x:c>
      <x:c r="F20" s="49" t="n">
        <x:f>Source!E32+Source!E34+Source!E38-Source!E39</x:f>
        <x:v>6.661338147750939e-16</x:v>
      </x:c>
      <x:c r="G20" s="49" t="n">
        <x:f>Source!F32+Source!F34+Source!F38-Source!F39</x:f>
        <x:v>8.881784197001252e-16</x:v>
      </x:c>
      <x:c r="H20" s="49" t="n">
        <x:f>Source!G32+Source!G34+Source!G38-Source!G39</x:f>
        <x:v>-8.881784197001252e-15</x:v>
      </x:c>
      <x:c r="I20" s="49" t="n">
        <x:f>Source!H32+Source!H34+Source!H38-Source!H39</x:f>
        <x:v>0</x:v>
      </x:c>
      <x:c r="J20" s="49" t="n">
        <x:f>Source!I32+Source!I34+Source!I38-Source!I39</x:f>
        <x:v>-1.3322676295501878e-15</x:v>
      </x:c>
      <x:c r="K20" s="49" t="n">
        <x:f>Source!J32+Source!J34+Source!J38-Source!J39</x:f>
        <x:v>-3.552713678800501e-15</x:v>
      </x:c>
      <x:c r="L20" s="49" t="n">
        <x:f>Source!K32+Source!K34+Source!K38-Source!K39</x:f>
        <x:v>-5.773159728050814e-15</x:v>
      </x:c>
      <x:c r="M20" s="49" t="n">
        <x:f>Source!L32+Source!L34+Source!L38-Source!L39</x:f>
        <x:v>0</x:v>
      </x:c>
      <x:c r="N20" s="49" t="n">
        <x:f>Source!M32+Source!M34+Source!M38-Source!M39</x:f>
        <x:v>-1.3322676295501878e-15</x:v>
      </x:c>
      <x:c r="O20" s="49" t="n">
        <x:f>Source!N32+Source!N34+Source!N38-Source!N39</x:f>
        <x:v>0</x:v>
      </x:c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  <x:c r="AA20" s="49"/>
    </x:row>
    <x:row r="21" ht="21" customHeight="1">
      <x:c r="A21" s="1"/>
      <x:c r="B21" s="1"/>
      <x:c r="C21" s="1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  <x:c r="AA21" s="49"/>
    </x:row>
    <x:row r="22" ht="21" customHeight="1">
      <x:c r="A22" s="1"/>
      <x:c r="B22" s="1"/>
      <x:c r="C22" s="1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  <x:c r="AA22" s="49"/>
    </x:row>
    <x:row r="23" ht="21" customHeight="1">
      <x:c r="A23" s="1"/>
      <x:c r="B23" s="1"/>
      <x:c r="C23" s="1" t="str">
        <x:v>Revenue allocation weights less 100%</x:v>
      </x:c>
      <x:c r="D23" s="49" t="n">
        <x:f>SUM(Assumptions!D21:G21)-1</x:f>
        <x:v>0</x:v>
      </x:c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  <x:c r="AA23" s="49"/>
    </x:row>
    <x:row r="24" ht="21" customHeight="1">
      <x:c r="A24" s="1"/>
      <x:c r="B24" s="1"/>
      <x:c r="C24" s="1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  <x:c r="AA24" s="49"/>
    </x:row>
    <x:row r="25" ht="21" customHeight="1">
      <x:c r="A25" s="1"/>
      <x:c r="B25" s="1"/>
      <x:c r="C25" s="1" t="str">
        <x:v>Missing annual assumption inputs</x:v>
      </x:c>
      <x:c r="D25" s="49" t="n">
        <x:f>30-COUNT(Assumptions!D6:F15)</x:f>
        <x:v>0</x:v>
      </x:c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  <x:c r="AA25" s="49"/>
    </x:row>
    <x:row r="26" ht="21" customHeight="1">
      <x:c r="A26" s="1"/>
      <x:c r="B26" s="1"/>
      <x:c r="C26" s="1" t="str">
        <x:v>Missing seasonal assumption inputs</x:v>
      </x:c>
      <x:c r="D26" s="49" t="n">
        <x:f>16-COUNT(Assumptions!D21:G24)</x:f>
        <x:v>0</x:v>
      </x:c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  <x:c r="AA26" s="49"/>
    </x:row>
    <x:row r="27" ht="21" customHeight="1">
      <x:c r="A27" s="1"/>
      <x:c r="B27" s="1"/>
      <x:c r="C27" s="1" t="str">
        <x:v>Missing asset / opening inputs</x:v>
      </x:c>
      <x:c r="D27" s="49" t="n">
        <x:f>5-COUNT(Assumptions!D28:D32)</x:f>
        <x:v>0</x:v>
      </x:c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  <x:c r="AA27" s="49"/>
    </x:row>
    <x:row r="28" ht="21" customHeight="1">
      <x:c r="A28" s="1"/>
      <x:c r="B28" s="1"/>
      <x:c r="C28" s="1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  <x:c r="AA28" s="49"/>
    </x:row>
    <x:row r="29" ht="21" customHeight="1">
      <x:c r="A29" s="1"/>
      <x:c r="B29" s="1"/>
      <x:c r="C29" s="1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  <x:c r="AA29" s="49"/>
    </x:row>
    <x:row r="30" ht="21" customHeight="1">
      <x:c r="A30" s="1"/>
      <x:c r="B30" s="1"/>
      <x:c r="C30" s="1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  <x:c r="AA30" s="49"/>
    </x:row>
    <x:row r="31" ht="21" customHeight="1">
      <x:c r="A31" s="1"/>
      <x:c r="B31" s="1"/>
      <x:c r="C31" s="1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  <x:c r="AA31" s="49"/>
    </x:row>
    <x:row r="32" ht="21" customHeight="1">
      <x:c r="A32" s="1"/>
      <x:c r="B32" s="1"/>
      <x:c r="C32" s="1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  <x:c r="AA32" s="49"/>
    </x:row>
    <x:row r="33" ht="21" customHeight="1">
      <x:c r="A33" s="1"/>
      <x:c r="B33" s="1"/>
      <x:c r="C33" s="1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  <x:c r="AA33" s="49"/>
    </x:row>
    <x:row r="34" ht="21" customHeight="1">
      <x:c r="A34" s="1"/>
      <x:c r="B34" s="1"/>
      <x:c r="C34" s="1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  <x:c r="AA34" s="49"/>
    </x:row>
    <x:row r="35" ht="21" customHeight="1">
      <x:c r="A35" s="1"/>
      <x:c r="B35" s="1"/>
      <x:c r="C35" s="15" t="str">
        <x:v>Scenario 1 Policy</x:v>
      </x:c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  <x:c r="X35" s="50"/>
      <x:c r="Y35" s="50"/>
      <x:c r="Z35" s="50"/>
      <x:c r="AA35" s="50"/>
    </x:row>
    <x:row r="36" ht="21" customHeight="1">
      <x:c r="A36" s="1"/>
      <x:c r="B36" s="1"/>
      <x:c r="C36" s="1" t="str">
        <x:v>Assets less liabilities and equity</x:v>
      </x:c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 t="n">
        <x:f>'Scenario 1 Policy'!P28-'Scenario 1 Policy'!P38</x:f>
        <x:v>2.2737367544323206e-13</x:v>
      </x:c>
      <x:c r="Q36" s="49" t="n">
        <x:f>'Scenario 1 Policy'!Q28-'Scenario 1 Policy'!Q38</x:f>
        <x:v>0</x:v>
      </x:c>
      <x:c r="R36" s="49" t="n">
        <x:f>'Scenario 1 Policy'!R28-'Scenario 1 Policy'!R38</x:f>
        <x:v>2.2737367544323206e-13</x:v>
      </x:c>
      <x:c r="S36" s="49" t="n">
        <x:f>'Scenario 1 Policy'!S28-'Scenario 1 Policy'!S38</x:f>
        <x:v>2.2737367544323206e-13</x:v>
      </x:c>
      <x:c r="T36" s="49" t="n">
        <x:f>'Scenario 1 Policy'!T28-'Scenario 1 Policy'!T38</x:f>
        <x:v>2.2737367544323206e-13</x:v>
      </x:c>
      <x:c r="U36" s="49" t="n">
        <x:f>'Scenario 1 Policy'!U28-'Scenario 1 Policy'!U38</x:f>
        <x:v>2.2737367544323206e-13</x:v>
      </x:c>
      <x:c r="V36" s="49" t="n">
        <x:f>'Scenario 1 Policy'!V28-'Scenario 1 Policy'!V38</x:f>
        <x:v>0</x:v>
      </x:c>
      <x:c r="W36" s="49" t="n">
        <x:f>'Scenario 1 Policy'!W28-'Scenario 1 Policy'!W38</x:f>
        <x:v>2.2737367544323206e-13</x:v>
      </x:c>
      <x:c r="X36" s="49" t="n">
        <x:f>'Scenario 1 Policy'!X28-'Scenario 1 Policy'!X38</x:f>
        <x:v>2.2737367544323206e-13</x:v>
      </x:c>
      <x:c r="Y36" s="49" t="n">
        <x:f>'Scenario 1 Policy'!Y28-'Scenario 1 Policy'!Y38</x:f>
        <x:v>2.2737367544323206e-13</x:v>
      </x:c>
      <x:c r="Z36" s="49" t="n">
        <x:f>'Scenario 1 Policy'!Z28-'Scenario 1 Policy'!Z38</x:f>
        <x:v>2.2737367544323206e-13</x:v>
      </x:c>
      <x:c r="AA36" s="49" t="n">
        <x:f>'Scenario 1 Policy'!AA28-'Scenario 1 Policy'!AA38</x:f>
        <x:v>2.2737367544323206e-13</x:v>
      </x:c>
    </x:row>
    <x:row r="37" ht="21" customHeight="1">
      <x:c r="A37" s="1"/>
      <x:c r="B37" s="1"/>
      <x:c r="C37" s="1" t="str">
        <x:v>Cash categories less change in cash</x:v>
      </x:c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 t="n">
        <x:f>SUM('Scenario 1 Policy'!P46,'Scenario 1 Policy'!P48,'Scenario 1 Policy'!P52)-'Scenario 1 Policy'!P53</x:f>
        <x:v>0</x:v>
      </x:c>
      <x:c r="Q37" s="49" t="n">
        <x:f>SUM('Scenario 1 Policy'!Q46,'Scenario 1 Policy'!Q48,'Scenario 1 Policy'!Q52)-'Scenario 1 Policy'!Q53</x:f>
        <x:v>0</x:v>
      </x:c>
      <x:c r="R37" s="49" t="n">
        <x:f>SUM('Scenario 1 Policy'!R46,'Scenario 1 Policy'!R48,'Scenario 1 Policy'!R52)-'Scenario 1 Policy'!R53</x:f>
        <x:v>0</x:v>
      </x:c>
      <x:c r="S37" s="49" t="n">
        <x:f>SUM('Scenario 1 Policy'!S46,'Scenario 1 Policy'!S48,'Scenario 1 Policy'!S52)-'Scenario 1 Policy'!S53</x:f>
        <x:v>0</x:v>
      </x:c>
      <x:c r="T37" s="49" t="n">
        <x:f>SUM('Scenario 1 Policy'!T46,'Scenario 1 Policy'!T48,'Scenario 1 Policy'!T52)-'Scenario 1 Policy'!T53</x:f>
        <x:v>0</x:v>
      </x:c>
      <x:c r="U37" s="49" t="n">
        <x:f>SUM('Scenario 1 Policy'!U46,'Scenario 1 Policy'!U48,'Scenario 1 Policy'!U52)-'Scenario 1 Policy'!U53</x:f>
        <x:v>0</x:v>
      </x:c>
      <x:c r="V37" s="49" t="n">
        <x:f>SUM('Scenario 1 Policy'!V46,'Scenario 1 Policy'!V48,'Scenario 1 Policy'!V52)-'Scenario 1 Policy'!V53</x:f>
        <x:v>0</x:v>
      </x:c>
      <x:c r="W37" s="49" t="n">
        <x:f>SUM('Scenario 1 Policy'!W46,'Scenario 1 Policy'!W48,'Scenario 1 Policy'!W52)-'Scenario 1 Policy'!W53</x:f>
        <x:v>0</x:v>
      </x:c>
      <x:c r="X37" s="49" t="n">
        <x:f>SUM('Scenario 1 Policy'!X46,'Scenario 1 Policy'!X48,'Scenario 1 Policy'!X52)-'Scenario 1 Policy'!X53</x:f>
        <x:v>0</x:v>
      </x:c>
      <x:c r="Y37" s="49" t="n">
        <x:f>SUM('Scenario 1 Policy'!Y46,'Scenario 1 Policy'!Y48,'Scenario 1 Policy'!Y52)-'Scenario 1 Policy'!Y53</x:f>
        <x:v>0</x:v>
      </x:c>
      <x:c r="Z37" s="49" t="n">
        <x:f>SUM('Scenario 1 Policy'!Z46,'Scenario 1 Policy'!Z48,'Scenario 1 Policy'!Z52)-'Scenario 1 Policy'!Z53</x:f>
        <x:v>0</x:v>
      </x:c>
      <x:c r="AA37" s="49" t="n">
        <x:f>SUM('Scenario 1 Policy'!AA46,'Scenario 1 Policy'!AA48,'Scenario 1 Policy'!AA52)-'Scenario 1 Policy'!AA53</x:f>
        <x:v>0</x:v>
      </x:c>
    </x:row>
    <x:row r="38" ht="21" customHeight="1">
      <x:c r="A38" s="1"/>
      <x:c r="B38" s="1"/>
      <x:c r="C38" s="1" t="str">
        <x:v>Opening cash plus change less closing</x:v>
      </x:c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 t="n">
        <x:f>'Scenario 1 Policy'!P54+'Scenario 1 Policy'!P53-'Scenario 1 Policy'!P55</x:f>
        <x:v>0</x:v>
      </x:c>
      <x:c r="Q38" s="49" t="n">
        <x:f>'Scenario 1 Policy'!Q54+'Scenario 1 Policy'!Q53-'Scenario 1 Policy'!Q55</x:f>
        <x:v>0</x:v>
      </x:c>
      <x:c r="R38" s="49" t="n">
        <x:f>'Scenario 1 Policy'!R54+'Scenario 1 Policy'!R53-'Scenario 1 Policy'!R55</x:f>
        <x:v>0</x:v>
      </x:c>
      <x:c r="S38" s="49" t="n">
        <x:f>'Scenario 1 Policy'!S54+'Scenario 1 Policy'!S53-'Scenario 1 Policy'!S55</x:f>
        <x:v>0</x:v>
      </x:c>
      <x:c r="T38" s="49" t="n">
        <x:f>'Scenario 1 Policy'!T54+'Scenario 1 Policy'!T53-'Scenario 1 Policy'!T55</x:f>
        <x:v>0</x:v>
      </x:c>
      <x:c r="U38" s="49" t="n">
        <x:f>'Scenario 1 Policy'!U54+'Scenario 1 Policy'!U53-'Scenario 1 Policy'!U55</x:f>
        <x:v>0</x:v>
      </x:c>
      <x:c r="V38" s="49" t="n">
        <x:f>'Scenario 1 Policy'!V54+'Scenario 1 Policy'!V53-'Scenario 1 Policy'!V55</x:f>
        <x:v>0</x:v>
      </x:c>
      <x:c r="W38" s="49" t="n">
        <x:f>'Scenario 1 Policy'!W54+'Scenario 1 Policy'!W53-'Scenario 1 Policy'!W55</x:f>
        <x:v>0</x:v>
      </x:c>
      <x:c r="X38" s="49" t="n">
        <x:f>'Scenario 1 Policy'!X54+'Scenario 1 Policy'!X53-'Scenario 1 Policy'!X55</x:f>
        <x:v>0</x:v>
      </x:c>
      <x:c r="Y38" s="49" t="n">
        <x:f>'Scenario 1 Policy'!Y54+'Scenario 1 Policy'!Y53-'Scenario 1 Policy'!Y55</x:f>
        <x:v>0</x:v>
      </x:c>
      <x:c r="Z38" s="49" t="n">
        <x:f>'Scenario 1 Policy'!Z54+'Scenario 1 Policy'!Z53-'Scenario 1 Policy'!Z55</x:f>
        <x:v>0</x:v>
      </x:c>
      <x:c r="AA38" s="49" t="n">
        <x:f>'Scenario 1 Policy'!AA54+'Scenario 1 Policy'!AA53-'Scenario 1 Policy'!AA55</x:f>
        <x:v>0</x:v>
      </x:c>
    </x:row>
    <x:row r="39" ht="21" customHeight="1">
      <x:c r="A39" s="1"/>
      <x:c r="B39" s="1"/>
      <x:c r="C39" s="1" t="str">
        <x:v>Cash balance less closing cash flow</x:v>
      </x:c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 t="n">
        <x:f>'Scenario 1 Policy'!P23-'Scenario 1 Policy'!P55</x:f>
        <x:v>0</x:v>
      </x:c>
      <x:c r="Q39" s="49" t="n">
        <x:f>'Scenario 1 Policy'!Q23-'Scenario 1 Policy'!Q55</x:f>
        <x:v>0</x:v>
      </x:c>
      <x:c r="R39" s="49" t="n">
        <x:f>'Scenario 1 Policy'!R23-'Scenario 1 Policy'!R55</x:f>
        <x:v>0</x:v>
      </x:c>
      <x:c r="S39" s="49" t="n">
        <x:f>'Scenario 1 Policy'!S23-'Scenario 1 Policy'!S55</x:f>
        <x:v>0</x:v>
      </x:c>
      <x:c r="T39" s="49" t="n">
        <x:f>'Scenario 1 Policy'!T23-'Scenario 1 Policy'!T55</x:f>
        <x:v>0</x:v>
      </x:c>
      <x:c r="U39" s="49" t="n">
        <x:f>'Scenario 1 Policy'!U23-'Scenario 1 Policy'!U55</x:f>
        <x:v>0</x:v>
      </x:c>
      <x:c r="V39" s="49" t="n">
        <x:f>'Scenario 1 Policy'!V23-'Scenario 1 Policy'!V55</x:f>
        <x:v>0</x:v>
      </x:c>
      <x:c r="W39" s="49" t="n">
        <x:f>'Scenario 1 Policy'!W23-'Scenario 1 Policy'!W55</x:f>
        <x:v>0</x:v>
      </x:c>
      <x:c r="X39" s="49" t="n">
        <x:f>'Scenario 1 Policy'!X23-'Scenario 1 Policy'!X55</x:f>
        <x:v>0</x:v>
      </x:c>
      <x:c r="Y39" s="49" t="n">
        <x:f>'Scenario 1 Policy'!Y23-'Scenario 1 Policy'!Y55</x:f>
        <x:v>0</x:v>
      </x:c>
      <x:c r="Z39" s="49" t="n">
        <x:f>'Scenario 1 Policy'!Z23-'Scenario 1 Policy'!Z55</x:f>
        <x:v>0</x:v>
      </x:c>
      <x:c r="AA39" s="49" t="n">
        <x:f>'Scenario 1 Policy'!AA23-'Scenario 1 Policy'!AA55</x:f>
        <x:v>0</x:v>
      </x:c>
    </x:row>
    <x:row r="40" ht="21" customHeight="1">
      <x:c r="A40" s="1"/>
      <x:c r="B40" s="1"/>
      <x:c r="C40" s="1" t="str">
        <x:v>Retained earnings reconciliation</x:v>
      </x:c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 t="n">
        <x:f>'Scenario 1 Policy'!P36-'Scenario 1 Policy'!O36-'Scenario 1 Policy'!P20-'Scenario 1 Policy'!P51</x:f>
        <x:v>-2.1316282072803006e-14</x:v>
      </x:c>
      <x:c r="Q40" s="49" t="n">
        <x:f>'Scenario 1 Policy'!Q36-'Scenario 1 Policy'!P36-'Scenario 1 Policy'!Q20-'Scenario 1 Policy'!Q51</x:f>
        <x:v>-3.552713678800501e-15</x:v>
      </x:c>
      <x:c r="R40" s="49" t="n">
        <x:f>'Scenario 1 Policy'!R36-'Scenario 1 Policy'!Q36-'Scenario 1 Policy'!R20-'Scenario 1 Policy'!R51</x:f>
        <x:v>2.1316282072803006e-14</x:v>
      </x:c>
      <x:c r="S40" s="49" t="n">
        <x:f>'Scenario 1 Policy'!S36-'Scenario 1 Policy'!R36-'Scenario 1 Policy'!S20-'Scenario 1 Policy'!S51</x:f>
        <x:v>5.3290705182007514e-14</x:v>
      </x:c>
      <x:c r="T40" s="49" t="n">
        <x:f>'Scenario 1 Policy'!T36-'Scenario 1 Policy'!S36-'Scenario 1 Policy'!T20-'Scenario 1 Policy'!T51</x:f>
        <x:v>-3.552713678800501e-14</x:v>
      </x:c>
      <x:c r="U40" s="49" t="n">
        <x:f>'Scenario 1 Policy'!U36-'Scenario 1 Policy'!T36-'Scenario 1 Policy'!U20-'Scenario 1 Policy'!U51</x:f>
        <x:v>-2.842170943040401e-14</x:v>
      </x:c>
      <x:c r="V40" s="49" t="n">
        <x:f>'Scenario 1 Policy'!V36-'Scenario 1 Policy'!U36-'Scenario 1 Policy'!V20-'Scenario 1 Policy'!V51</x:f>
        <x:v>4.973799150320701e-14</x:v>
      </x:c>
      <x:c r="W40" s="49" t="n">
        <x:f>'Scenario 1 Policy'!W36-'Scenario 1 Policy'!V36-'Scenario 1 Policy'!W20-'Scenario 1 Policy'!W51</x:f>
        <x:v>-4.973799150320701e-14</x:v>
      </x:c>
      <x:c r="X40" s="49" t="n">
        <x:f>'Scenario 1 Policy'!X36-'Scenario 1 Policy'!W36-'Scenario 1 Policy'!X20-'Scenario 1 Policy'!X51</x:f>
        <x:v>-3.907985046680551e-14</x:v>
      </x:c>
      <x:c r="Y40" s="49" t="n">
        <x:f>'Scenario 1 Policy'!Y36-'Scenario 1 Policy'!X36-'Scenario 1 Policy'!Y20-'Scenario 1 Policy'!Y51</x:f>
        <x:v>7.105427357601002e-15</x:v>
      </x:c>
      <x:c r="Z40" s="49" t="n">
        <x:f>'Scenario 1 Policy'!Z36-'Scenario 1 Policy'!Y36-'Scenario 1 Policy'!Z20-'Scenario 1 Policy'!Z51</x:f>
        <x:v>3.907985046680551e-14</x:v>
      </x:c>
      <x:c r="AA40" s="49" t="n">
        <x:f>'Scenario 1 Policy'!AA36-'Scenario 1 Policy'!Z36-'Scenario 1 Policy'!AA20-'Scenario 1 Policy'!AA51</x:f>
        <x:v>1.4210854715202004e-14</x:v>
      </x:c>
    </x:row>
    <x:row r="41" ht="21" customHeight="1">
      <x:c r="A41" s="1"/>
      <x:c r="B41" s="1"/>
      <x:c r="C41" s="1" t="str">
        <x:v>PPE reconciliation</x:v>
      </x:c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 t="n">
        <x:f>'Scenario 1 Policy'!P27-'Scenario 1 Policy'!P58-'Scenario 1 Policy'!P59+'Scenario 1 Policy'!P62</x:f>
        <x:v>1.5987211554602254e-14</x:v>
      </x:c>
      <x:c r="Q41" s="49" t="n">
        <x:f>'Scenario 1 Policy'!Q27-'Scenario 1 Policy'!Q58-'Scenario 1 Policy'!Q59+'Scenario 1 Policy'!Q62</x:f>
        <x:v>-7.105427357601002e-15</x:v>
      </x:c>
      <x:c r="R41" s="49" t="n">
        <x:f>'Scenario 1 Policy'!R27-'Scenario 1 Policy'!R58-'Scenario 1 Policy'!R59+'Scenario 1 Policy'!R62</x:f>
        <x:v>-1.4210854715202004e-14</x:v>
      </x:c>
      <x:c r="S41" s="49" t="n">
        <x:f>'Scenario 1 Policy'!S27-'Scenario 1 Policy'!S58-'Scenario 1 Policy'!S59+'Scenario 1 Policy'!S62</x:f>
        <x:v>-3.197442310920451e-14</x:v>
      </x:c>
      <x:c r="T41" s="49" t="n">
        <x:f>'Scenario 1 Policy'!T27-'Scenario 1 Policy'!T58-'Scenario 1 Policy'!T59+'Scenario 1 Policy'!T62</x:f>
        <x:v>4.263256414560601e-14</x:v>
      </x:c>
      <x:c r="U41" s="49" t="n">
        <x:f>'Scenario 1 Policy'!U27-'Scenario 1 Policy'!U58-'Scenario 1 Policy'!U59+'Scenario 1 Policy'!U62</x:f>
        <x:v>6.750155989720952e-14</x:v>
      </x:c>
      <x:c r="V41" s="49" t="n">
        <x:f>'Scenario 1 Policy'!V27-'Scenario 1 Policy'!V58-'Scenario 1 Policy'!V59+'Scenario 1 Policy'!V62</x:f>
        <x:v>7.815970093361102e-14</x:v>
      </x:c>
      <x:c r="W41" s="49" t="n">
        <x:f>'Scenario 1 Policy'!W27-'Scenario 1 Policy'!W58-'Scenario 1 Policy'!W59+'Scenario 1 Policy'!W62</x:f>
        <x:v>-3.552713678800501e-15</x:v>
      </x:c>
      <x:c r="X41" s="49" t="n">
        <x:f>'Scenario 1 Policy'!X27-'Scenario 1 Policy'!X58-'Scenario 1 Policy'!X59+'Scenario 1 Policy'!X62</x:f>
        <x:v>-7.460698725481052e-14</x:v>
      </x:c>
      <x:c r="Y41" s="49" t="n">
        <x:f>'Scenario 1 Policy'!Y27-'Scenario 1 Policy'!Y58-'Scenario 1 Policy'!Y59+'Scenario 1 Policy'!Y62</x:f>
        <x:v>9.237055564881302e-14</x:v>
      </x:c>
      <x:c r="Z41" s="49" t="n">
        <x:f>'Scenario 1 Policy'!Z27-'Scenario 1 Policy'!Z58-'Scenario 1 Policy'!Z59+'Scenario 1 Policy'!Z62</x:f>
        <x:v>-4.263256414560601e-14</x:v>
      </x:c>
      <x:c r="AA41" s="49" t="n">
        <x:f>'Scenario 1 Policy'!AA27-'Scenario 1 Policy'!AA58-'Scenario 1 Policy'!AA59+'Scenario 1 Policy'!AA62</x:f>
        <x:v>2.1316282072803006e-14</x:v>
      </x:c>
    </x:row>
    <x:row r="42" ht="21" customHeight="1">
      <x:c r="A42" s="1"/>
      <x:c r="B42" s="1"/>
      <x:c r="C42" s="1" t="str">
        <x:v>Debt reconciliation</x:v>
      </x:c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 t="n">
        <x:f>'Scenario 1 Policy'!P66-'Scenario 1 Policy'!P63-'Scenario 1 Policy'!P49</x:f>
        <x:v>0</x:v>
      </x:c>
      <x:c r="Q42" s="49" t="n">
        <x:f>'Scenario 1 Policy'!Q66-'Scenario 1 Policy'!Q63-'Scenario 1 Policy'!Q49</x:f>
        <x:v>0</x:v>
      </x:c>
      <x:c r="R42" s="49" t="n">
        <x:f>'Scenario 1 Policy'!R66-'Scenario 1 Policy'!R63-'Scenario 1 Policy'!R49</x:f>
        <x:v>0</x:v>
      </x:c>
      <x:c r="S42" s="49" t="n">
        <x:f>'Scenario 1 Policy'!S66-'Scenario 1 Policy'!S63-'Scenario 1 Policy'!S49</x:f>
        <x:v>0</x:v>
      </x:c>
      <x:c r="T42" s="49" t="n">
        <x:f>'Scenario 1 Policy'!T66-'Scenario 1 Policy'!T63-'Scenario 1 Policy'!T49</x:f>
        <x:v>0</x:v>
      </x:c>
      <x:c r="U42" s="49" t="n">
        <x:f>'Scenario 1 Policy'!U66-'Scenario 1 Policy'!U63-'Scenario 1 Policy'!U49</x:f>
        <x:v>0</x:v>
      </x:c>
      <x:c r="V42" s="49" t="n">
        <x:f>'Scenario 1 Policy'!V66-'Scenario 1 Policy'!V63-'Scenario 1 Policy'!V49</x:f>
        <x:v>0</x:v>
      </x:c>
      <x:c r="W42" s="49" t="n">
        <x:f>'Scenario 1 Policy'!W66-'Scenario 1 Policy'!W63-'Scenario 1 Policy'!W49</x:f>
        <x:v>0</x:v>
      </x:c>
      <x:c r="X42" s="49" t="n">
        <x:f>'Scenario 1 Policy'!X66-'Scenario 1 Policy'!X63-'Scenario 1 Policy'!X49</x:f>
        <x:v>0</x:v>
      </x:c>
      <x:c r="Y42" s="49" t="n">
        <x:f>'Scenario 1 Policy'!Y66-'Scenario 1 Policy'!Y63-'Scenario 1 Policy'!Y49</x:f>
        <x:v>0</x:v>
      </x:c>
      <x:c r="Z42" s="49" t="n">
        <x:f>'Scenario 1 Policy'!Z66-'Scenario 1 Policy'!Z63-'Scenario 1 Policy'!Z49</x:f>
        <x:v>0</x:v>
      </x:c>
      <x:c r="AA42" s="49" t="n">
        <x:f>'Scenario 1 Policy'!AA66-'Scenario 1 Policy'!AA63-'Scenario 1 Policy'!AA49</x:f>
        <x:v>0</x:v>
      </x:c>
    </x:row>
    <x:row r="43" ht="21" customHeight="1">
      <x:c r="A43" s="1"/>
      <x:c r="B43" s="1"/>
      <x:c r="C43" s="1" t="str">
        <x:v>Cash below zero</x:v>
      </x:c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 t="n">
        <x:f>MIN('Scenario 1 Policy'!P23,0)</x:f>
        <x:v>0</x:v>
      </x:c>
      <x:c r="Q43" s="49" t="n">
        <x:f>MIN('Scenario 1 Policy'!Q23,0)</x:f>
        <x:v>0</x:v>
      </x:c>
      <x:c r="R43" s="49" t="n">
        <x:f>MIN('Scenario 1 Policy'!R23,0)</x:f>
        <x:v>0</x:v>
      </x:c>
      <x:c r="S43" s="49" t="n">
        <x:f>MIN('Scenario 1 Policy'!S23,0)</x:f>
        <x:v>0</x:v>
      </x:c>
      <x:c r="T43" s="49" t="n">
        <x:f>MIN('Scenario 1 Policy'!T23,0)</x:f>
        <x:v>0</x:v>
      </x:c>
      <x:c r="U43" s="49" t="n">
        <x:f>MIN('Scenario 1 Policy'!U23,0)</x:f>
        <x:v>0</x:v>
      </x:c>
      <x:c r="V43" s="49" t="n">
        <x:f>MIN('Scenario 1 Policy'!V23,0)</x:f>
        <x:v>0</x:v>
      </x:c>
      <x:c r="W43" s="49" t="n">
        <x:f>MIN('Scenario 1 Policy'!W23,0)</x:f>
        <x:v>0</x:v>
      </x:c>
      <x:c r="X43" s="49" t="n">
        <x:f>MIN('Scenario 1 Policy'!X23,0)</x:f>
        <x:v>0</x:v>
      </x:c>
      <x:c r="Y43" s="49" t="n">
        <x:f>MIN('Scenario 1 Policy'!Y23,0)</x:f>
        <x:v>0</x:v>
      </x:c>
      <x:c r="Z43" s="49" t="n">
        <x:f>MIN('Scenario 1 Policy'!Z23,0)</x:f>
        <x:v>0</x:v>
      </x:c>
      <x:c r="AA43" s="49" t="n">
        <x:f>MIN('Scenario 1 Policy'!AA23,0)</x:f>
        <x:v>0</x:v>
      </x:c>
    </x:row>
    <x:row r="44" ht="21" customHeight="1">
      <x:c r="A44" s="1"/>
      <x:c r="B44" s="1"/>
      <x:c r="C44" s="1" t="str">
        <x:v>Cash operating expenses below zero</x:v>
      </x:c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 t="n">
        <x:f>MIN('Scenario 1 Policy'!P14,0)</x:f>
        <x:v>0</x:v>
      </x:c>
      <x:c r="Q44" s="49" t="n">
        <x:f>MIN('Scenario 1 Policy'!Q14,0)</x:f>
        <x:v>0</x:v>
      </x:c>
      <x:c r="R44" s="49" t="n">
        <x:f>MIN('Scenario 1 Policy'!R14,0)</x:f>
        <x:v>0</x:v>
      </x:c>
      <x:c r="S44" s="49" t="n">
        <x:f>MIN('Scenario 1 Policy'!S14,0)</x:f>
        <x:v>0</x:v>
      </x:c>
      <x:c r="T44" s="49" t="n">
        <x:f>MIN('Scenario 1 Policy'!T14,0)</x:f>
        <x:v>0</x:v>
      </x:c>
      <x:c r="U44" s="49" t="n">
        <x:f>MIN('Scenario 1 Policy'!U14,0)</x:f>
        <x:v>0</x:v>
      </x:c>
      <x:c r="V44" s="49" t="n">
        <x:f>MIN('Scenario 1 Policy'!V14,0)</x:f>
        <x:v>0</x:v>
      </x:c>
      <x:c r="W44" s="49" t="n">
        <x:f>MIN('Scenario 1 Policy'!W14,0)</x:f>
        <x:v>0</x:v>
      </x:c>
      <x:c r="X44" s="49" t="n">
        <x:f>MIN('Scenario 1 Policy'!X14,0)</x:f>
        <x:v>0</x:v>
      </x:c>
      <x:c r="Y44" s="49" t="n">
        <x:f>MIN('Scenario 1 Policy'!Y14,0)</x:f>
        <x:v>0</x:v>
      </x:c>
      <x:c r="Z44" s="49" t="n">
        <x:f>MIN('Scenario 1 Policy'!Z14,0)</x:f>
        <x:v>0</x:v>
      </x:c>
      <x:c r="AA44" s="49" t="n">
        <x:f>MIN('Scenario 1 Policy'!AA14,0)</x:f>
        <x:v>0</x:v>
      </x:c>
    </x:row>
    <x:row r="45" ht="21" customHeight="1">
      <x:c r="A45" s="1"/>
      <x:c r="B45" s="1"/>
      <x:c r="C45" s="1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  <x:c r="AA45" s="49"/>
    </x:row>
    <x:row r="46" ht="21" customHeight="1">
      <x:c r="A46" s="1"/>
      <x:c r="B46" s="1"/>
      <x:c r="C46" s="1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  <x:c r="AA46" s="49"/>
    </x:row>
    <x:row r="47" ht="21" customHeight="1">
      <x:c r="A47" s="1"/>
      <x:c r="B47" s="1"/>
      <x:c r="C47" s="1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  <x:c r="AA47" s="49"/>
    </x:row>
    <x:row r="48" ht="21" customHeight="1">
      <x:c r="A48" s="1"/>
      <x:c r="B48" s="1"/>
      <x:c r="C48" s="1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  <x:c r="AA48" s="49"/>
    </x:row>
    <x:row r="49" ht="21" customHeight="1">
      <x:c r="A49" s="1"/>
      <x:c r="B49" s="1"/>
      <x:c r="C49" s="15" t="str">
        <x:v>Scenario 2 Costs</x:v>
      </x:c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  <x:c r="X49" s="50"/>
      <x:c r="Y49" s="50"/>
      <x:c r="Z49" s="50"/>
      <x:c r="AA49" s="50"/>
    </x:row>
    <x:row r="50" ht="21" customHeight="1">
      <x:c r="A50" s="1"/>
      <x:c r="B50" s="1"/>
      <x:c r="C50" s="1" t="str">
        <x:v>Assets less liabilities and equity</x:v>
      </x:c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 t="n">
        <x:f>'Scenario 2 Costs'!P28-'Scenario 2 Costs'!P38</x:f>
        <x:v>2.2737367544323206e-13</x:v>
      </x:c>
      <x:c r="Q50" s="49" t="n">
        <x:f>'Scenario 2 Costs'!Q28-'Scenario 2 Costs'!Q38</x:f>
        <x:v>2.2737367544323206e-13</x:v>
      </x:c>
      <x:c r="R50" s="49" t="n">
        <x:f>'Scenario 2 Costs'!R28-'Scenario 2 Costs'!R38</x:f>
        <x:v>0</x:v>
      </x:c>
      <x:c r="S50" s="49" t="n">
        <x:f>'Scenario 2 Costs'!S28-'Scenario 2 Costs'!S38</x:f>
        <x:v>0</x:v>
      </x:c>
      <x:c r="T50" s="49" t="n">
        <x:f>'Scenario 2 Costs'!T28-'Scenario 2 Costs'!T38</x:f>
        <x:v>0</x:v>
      </x:c>
      <x:c r="U50" s="49" t="n">
        <x:f>'Scenario 2 Costs'!U28-'Scenario 2 Costs'!U38</x:f>
        <x:v>0</x:v>
      </x:c>
      <x:c r="V50" s="49" t="n">
        <x:f>'Scenario 2 Costs'!V28-'Scenario 2 Costs'!V38</x:f>
        <x:v>2.2737367544323206e-13</x:v>
      </x:c>
      <x:c r="W50" s="49" t="n">
        <x:f>'Scenario 2 Costs'!W28-'Scenario 2 Costs'!W38</x:f>
        <x:v>2.2737367544323206e-13</x:v>
      </x:c>
      <x:c r="X50" s="49" t="n">
        <x:f>'Scenario 2 Costs'!X28-'Scenario 2 Costs'!X38</x:f>
        <x:v>2.2737367544323206e-13</x:v>
      </x:c>
      <x:c r="Y50" s="49" t="n">
        <x:f>'Scenario 2 Costs'!Y28-'Scenario 2 Costs'!Y38</x:f>
        <x:v>2.2737367544323206e-13</x:v>
      </x:c>
      <x:c r="Z50" s="49" t="n">
        <x:f>'Scenario 2 Costs'!Z28-'Scenario 2 Costs'!Z38</x:f>
        <x:v>0</x:v>
      </x:c>
      <x:c r="AA50" s="49" t="n">
        <x:f>'Scenario 2 Costs'!AA28-'Scenario 2 Costs'!AA38</x:f>
        <x:v>2.2737367544323206e-13</x:v>
      </x:c>
    </x:row>
    <x:row r="51" ht="21" customHeight="1">
      <x:c r="A51" s="1"/>
      <x:c r="B51" s="1"/>
      <x:c r="C51" s="1" t="str">
        <x:v>Cash categories less change in cash</x:v>
      </x:c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 t="n">
        <x:f>SUM('Scenario 2 Costs'!P46,'Scenario 2 Costs'!P48,'Scenario 2 Costs'!P52)-'Scenario 2 Costs'!P53</x:f>
        <x:v>0</x:v>
      </x:c>
      <x:c r="Q51" s="49" t="n">
        <x:f>SUM('Scenario 2 Costs'!Q46,'Scenario 2 Costs'!Q48,'Scenario 2 Costs'!Q52)-'Scenario 2 Costs'!Q53</x:f>
        <x:v>0</x:v>
      </x:c>
      <x:c r="R51" s="49" t="n">
        <x:f>SUM('Scenario 2 Costs'!R46,'Scenario 2 Costs'!R48,'Scenario 2 Costs'!R52)-'Scenario 2 Costs'!R53</x:f>
        <x:v>0</x:v>
      </x:c>
      <x:c r="S51" s="49" t="n">
        <x:f>SUM('Scenario 2 Costs'!S46,'Scenario 2 Costs'!S48,'Scenario 2 Costs'!S52)-'Scenario 2 Costs'!S53</x:f>
        <x:v>0</x:v>
      </x:c>
      <x:c r="T51" s="49" t="n">
        <x:f>SUM('Scenario 2 Costs'!T46,'Scenario 2 Costs'!T48,'Scenario 2 Costs'!T52)-'Scenario 2 Costs'!T53</x:f>
        <x:v>0</x:v>
      </x:c>
      <x:c r="U51" s="49" t="n">
        <x:f>SUM('Scenario 2 Costs'!U46,'Scenario 2 Costs'!U48,'Scenario 2 Costs'!U52)-'Scenario 2 Costs'!U53</x:f>
        <x:v>0</x:v>
      </x:c>
      <x:c r="V51" s="49" t="n">
        <x:f>SUM('Scenario 2 Costs'!V46,'Scenario 2 Costs'!V48,'Scenario 2 Costs'!V52)-'Scenario 2 Costs'!V53</x:f>
        <x:v>0</x:v>
      </x:c>
      <x:c r="W51" s="49" t="n">
        <x:f>SUM('Scenario 2 Costs'!W46,'Scenario 2 Costs'!W48,'Scenario 2 Costs'!W52)-'Scenario 2 Costs'!W53</x:f>
        <x:v>0</x:v>
      </x:c>
      <x:c r="X51" s="49" t="n">
        <x:f>SUM('Scenario 2 Costs'!X46,'Scenario 2 Costs'!X48,'Scenario 2 Costs'!X52)-'Scenario 2 Costs'!X53</x:f>
        <x:v>0</x:v>
      </x:c>
      <x:c r="Y51" s="49" t="n">
        <x:f>SUM('Scenario 2 Costs'!Y46,'Scenario 2 Costs'!Y48,'Scenario 2 Costs'!Y52)-'Scenario 2 Costs'!Y53</x:f>
        <x:v>0</x:v>
      </x:c>
      <x:c r="Z51" s="49" t="n">
        <x:f>SUM('Scenario 2 Costs'!Z46,'Scenario 2 Costs'!Z48,'Scenario 2 Costs'!Z52)-'Scenario 2 Costs'!Z53</x:f>
        <x:v>0</x:v>
      </x:c>
      <x:c r="AA51" s="49" t="n">
        <x:f>SUM('Scenario 2 Costs'!AA46,'Scenario 2 Costs'!AA48,'Scenario 2 Costs'!AA52)-'Scenario 2 Costs'!AA53</x:f>
        <x:v>0</x:v>
      </x:c>
    </x:row>
    <x:row r="52" ht="21" customHeight="1">
      <x:c r="A52" s="1"/>
      <x:c r="B52" s="1"/>
      <x:c r="C52" s="1" t="str">
        <x:v>Opening cash plus change less closing</x:v>
      </x:c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 t="n">
        <x:f>'Scenario 2 Costs'!P54+'Scenario 2 Costs'!P53-'Scenario 2 Costs'!P55</x:f>
        <x:v>0</x:v>
      </x:c>
      <x:c r="Q52" s="49" t="n">
        <x:f>'Scenario 2 Costs'!Q54+'Scenario 2 Costs'!Q53-'Scenario 2 Costs'!Q55</x:f>
        <x:v>0</x:v>
      </x:c>
      <x:c r="R52" s="49" t="n">
        <x:f>'Scenario 2 Costs'!R54+'Scenario 2 Costs'!R53-'Scenario 2 Costs'!R55</x:f>
        <x:v>0</x:v>
      </x:c>
      <x:c r="S52" s="49" t="n">
        <x:f>'Scenario 2 Costs'!S54+'Scenario 2 Costs'!S53-'Scenario 2 Costs'!S55</x:f>
        <x:v>0</x:v>
      </x:c>
      <x:c r="T52" s="49" t="n">
        <x:f>'Scenario 2 Costs'!T54+'Scenario 2 Costs'!T53-'Scenario 2 Costs'!T55</x:f>
        <x:v>0</x:v>
      </x:c>
      <x:c r="U52" s="49" t="n">
        <x:f>'Scenario 2 Costs'!U54+'Scenario 2 Costs'!U53-'Scenario 2 Costs'!U55</x:f>
        <x:v>0</x:v>
      </x:c>
      <x:c r="V52" s="49" t="n">
        <x:f>'Scenario 2 Costs'!V54+'Scenario 2 Costs'!V53-'Scenario 2 Costs'!V55</x:f>
        <x:v>0</x:v>
      </x:c>
      <x:c r="W52" s="49" t="n">
        <x:f>'Scenario 2 Costs'!W54+'Scenario 2 Costs'!W53-'Scenario 2 Costs'!W55</x:f>
        <x:v>0</x:v>
      </x:c>
      <x:c r="X52" s="49" t="n">
        <x:f>'Scenario 2 Costs'!X54+'Scenario 2 Costs'!X53-'Scenario 2 Costs'!X55</x:f>
        <x:v>0</x:v>
      </x:c>
      <x:c r="Y52" s="49" t="n">
        <x:f>'Scenario 2 Costs'!Y54+'Scenario 2 Costs'!Y53-'Scenario 2 Costs'!Y55</x:f>
        <x:v>0</x:v>
      </x:c>
      <x:c r="Z52" s="49" t="n">
        <x:f>'Scenario 2 Costs'!Z54+'Scenario 2 Costs'!Z53-'Scenario 2 Costs'!Z55</x:f>
        <x:v>0</x:v>
      </x:c>
      <x:c r="AA52" s="49" t="n">
        <x:f>'Scenario 2 Costs'!AA54+'Scenario 2 Costs'!AA53-'Scenario 2 Costs'!AA55</x:f>
        <x:v>0</x:v>
      </x:c>
    </x:row>
    <x:row r="53" ht="21" customHeight="1">
      <x:c r="A53" s="1"/>
      <x:c r="B53" s="1"/>
      <x:c r="C53" s="1" t="str">
        <x:v>Cash balance less closing cash flow</x:v>
      </x:c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 t="n">
        <x:f>'Scenario 2 Costs'!P23-'Scenario 2 Costs'!P55</x:f>
        <x:v>0</x:v>
      </x:c>
      <x:c r="Q53" s="49" t="n">
        <x:f>'Scenario 2 Costs'!Q23-'Scenario 2 Costs'!Q55</x:f>
        <x:v>0</x:v>
      </x:c>
      <x:c r="R53" s="49" t="n">
        <x:f>'Scenario 2 Costs'!R23-'Scenario 2 Costs'!R55</x:f>
        <x:v>0</x:v>
      </x:c>
      <x:c r="S53" s="49" t="n">
        <x:f>'Scenario 2 Costs'!S23-'Scenario 2 Costs'!S55</x:f>
        <x:v>0</x:v>
      </x:c>
      <x:c r="T53" s="49" t="n">
        <x:f>'Scenario 2 Costs'!T23-'Scenario 2 Costs'!T55</x:f>
        <x:v>0</x:v>
      </x:c>
      <x:c r="U53" s="49" t="n">
        <x:f>'Scenario 2 Costs'!U23-'Scenario 2 Costs'!U55</x:f>
        <x:v>0</x:v>
      </x:c>
      <x:c r="V53" s="49" t="n">
        <x:f>'Scenario 2 Costs'!V23-'Scenario 2 Costs'!V55</x:f>
        <x:v>0</x:v>
      </x:c>
      <x:c r="W53" s="49" t="n">
        <x:f>'Scenario 2 Costs'!W23-'Scenario 2 Costs'!W55</x:f>
        <x:v>0</x:v>
      </x:c>
      <x:c r="X53" s="49" t="n">
        <x:f>'Scenario 2 Costs'!X23-'Scenario 2 Costs'!X55</x:f>
        <x:v>0</x:v>
      </x:c>
      <x:c r="Y53" s="49" t="n">
        <x:f>'Scenario 2 Costs'!Y23-'Scenario 2 Costs'!Y55</x:f>
        <x:v>0</x:v>
      </x:c>
      <x:c r="Z53" s="49" t="n">
        <x:f>'Scenario 2 Costs'!Z23-'Scenario 2 Costs'!Z55</x:f>
        <x:v>0</x:v>
      </x:c>
      <x:c r="AA53" s="49" t="n">
        <x:f>'Scenario 2 Costs'!AA23-'Scenario 2 Costs'!AA55</x:f>
        <x:v>0</x:v>
      </x:c>
    </x:row>
    <x:row r="54" ht="21" customHeight="1">
      <x:c r="A54" s="1"/>
      <x:c r="B54" s="1"/>
      <x:c r="C54" s="1" t="str">
        <x:v>Retained earnings reconciliation</x:v>
      </x:c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 t="n">
        <x:f>'Scenario 2 Costs'!P36-'Scenario 2 Costs'!O36-'Scenario 2 Costs'!P20-'Scenario 2 Costs'!P51</x:f>
        <x:v>-1.4210854715202004e-14</x:v>
      </x:c>
      <x:c r="Q54" s="49" t="n">
        <x:f>'Scenario 2 Costs'!Q36-'Scenario 2 Costs'!P36-'Scenario 2 Costs'!Q20-'Scenario 2 Costs'!Q51</x:f>
        <x:v>-7.105427357601002e-15</x:v>
      </x:c>
      <x:c r="R54" s="49" t="n">
        <x:f>'Scenario 2 Costs'!R36-'Scenario 2 Costs'!Q36-'Scenario 2 Costs'!R20-'Scenario 2 Costs'!R51</x:f>
        <x:v>1.0658141036401503e-14</x:v>
      </x:c>
      <x:c r="S54" s="49" t="n">
        <x:f>'Scenario 2 Costs'!S36-'Scenario 2 Costs'!R36-'Scenario 2 Costs'!S20-'Scenario 2 Costs'!S51</x:f>
        <x:v>-1.7763568394002505e-14</x:v>
      </x:c>
      <x:c r="T54" s="49" t="n">
        <x:f>'Scenario 2 Costs'!T36-'Scenario 2 Costs'!S36-'Scenario 2 Costs'!T20-'Scenario 2 Costs'!T51</x:f>
        <x:v>1.0658141036401503e-14</x:v>
      </x:c>
      <x:c r="U54" s="49" t="n">
        <x:f>'Scenario 2 Costs'!U36-'Scenario 2 Costs'!T36-'Scenario 2 Costs'!U20-'Scenario 2 Costs'!U51</x:f>
        <x:v>-1.4210854715202004e-14</x:v>
      </x:c>
      <x:c r="V54" s="49" t="n">
        <x:f>'Scenario 2 Costs'!V36-'Scenario 2 Costs'!U36-'Scenario 2 Costs'!V20-'Scenario 2 Costs'!V51</x:f>
        <x:v>3.552713678800501e-14</x:v>
      </x:c>
      <x:c r="W54" s="49" t="n">
        <x:f>'Scenario 2 Costs'!W36-'Scenario 2 Costs'!V36-'Scenario 2 Costs'!W20-'Scenario 2 Costs'!W51</x:f>
        <x:v>-4.973799150320701e-14</x:v>
      </x:c>
      <x:c r="X54" s="49" t="n">
        <x:f>'Scenario 2 Costs'!X36-'Scenario 2 Costs'!W36-'Scenario 2 Costs'!X20-'Scenario 2 Costs'!X51</x:f>
        <x:v>4.263256414560601e-14</x:v>
      </x:c>
      <x:c r="Y54" s="49" t="n">
        <x:f>'Scenario 2 Costs'!Y36-'Scenario 2 Costs'!X36-'Scenario 2 Costs'!Y20-'Scenario 2 Costs'!Y51</x:f>
        <x:v>4.973799150320701e-14</x:v>
      </x:c>
      <x:c r="Z54" s="49" t="n">
        <x:f>'Scenario 2 Costs'!Z36-'Scenario 2 Costs'!Y36-'Scenario 2 Costs'!Z20-'Scenario 2 Costs'!Z51</x:f>
        <x:v>2.842170943040401e-14</x:v>
      </x:c>
      <x:c r="AA54" s="49" t="n">
        <x:f>'Scenario 2 Costs'!AA36-'Scenario 2 Costs'!Z36-'Scenario 2 Costs'!AA20-'Scenario 2 Costs'!AA51</x:f>
        <x:v>-5.684341886080802e-14</x:v>
      </x:c>
    </x:row>
    <x:row r="55" ht="21" customHeight="1">
      <x:c r="A55" s="1"/>
      <x:c r="B55" s="1"/>
      <x:c r="C55" s="1" t="str">
        <x:v>PPE reconciliation</x:v>
      </x:c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 t="n">
        <x:f>'Scenario 2 Costs'!P27-'Scenario 2 Costs'!P58-'Scenario 2 Costs'!P59+'Scenario 2 Costs'!P62</x:f>
        <x:v>1.5987211554602254e-14</x:v>
      </x:c>
      <x:c r="Q55" s="49" t="n">
        <x:f>'Scenario 2 Costs'!Q27-'Scenario 2 Costs'!Q58-'Scenario 2 Costs'!Q59+'Scenario 2 Costs'!Q62</x:f>
        <x:v>-7.105427357601002e-15</x:v>
      </x:c>
      <x:c r="R55" s="49" t="n">
        <x:f>'Scenario 2 Costs'!R27-'Scenario 2 Costs'!R58-'Scenario 2 Costs'!R59+'Scenario 2 Costs'!R62</x:f>
        <x:v>-1.4210854715202004e-14</x:v>
      </x:c>
      <x:c r="S55" s="49" t="n">
        <x:f>'Scenario 2 Costs'!S27-'Scenario 2 Costs'!S58-'Scenario 2 Costs'!S59+'Scenario 2 Costs'!S62</x:f>
        <x:v>-3.197442310920451e-14</x:v>
      </x:c>
      <x:c r="T55" s="49" t="n">
        <x:f>'Scenario 2 Costs'!T27-'Scenario 2 Costs'!T58-'Scenario 2 Costs'!T59+'Scenario 2 Costs'!T62</x:f>
        <x:v>4.263256414560601e-14</x:v>
      </x:c>
      <x:c r="U55" s="49" t="n">
        <x:f>'Scenario 2 Costs'!U27-'Scenario 2 Costs'!U58-'Scenario 2 Costs'!U59+'Scenario 2 Costs'!U62</x:f>
        <x:v>6.750155989720952e-14</x:v>
      </x:c>
      <x:c r="V55" s="49" t="n">
        <x:f>'Scenario 2 Costs'!V27-'Scenario 2 Costs'!V58-'Scenario 2 Costs'!V59+'Scenario 2 Costs'!V62</x:f>
        <x:v>7.815970093361102e-14</x:v>
      </x:c>
      <x:c r="W55" s="49" t="n">
        <x:f>'Scenario 2 Costs'!W27-'Scenario 2 Costs'!W58-'Scenario 2 Costs'!W59+'Scenario 2 Costs'!W62</x:f>
        <x:v>-3.552713678800501e-15</x:v>
      </x:c>
      <x:c r="X55" s="49" t="n">
        <x:f>'Scenario 2 Costs'!X27-'Scenario 2 Costs'!X58-'Scenario 2 Costs'!X59+'Scenario 2 Costs'!X62</x:f>
        <x:v>-7.460698725481052e-14</x:v>
      </x:c>
      <x:c r="Y55" s="49" t="n">
        <x:f>'Scenario 2 Costs'!Y27-'Scenario 2 Costs'!Y58-'Scenario 2 Costs'!Y59+'Scenario 2 Costs'!Y62</x:f>
        <x:v>9.237055564881302e-14</x:v>
      </x:c>
      <x:c r="Z55" s="49" t="n">
        <x:f>'Scenario 2 Costs'!Z27-'Scenario 2 Costs'!Z58-'Scenario 2 Costs'!Z59+'Scenario 2 Costs'!Z62</x:f>
        <x:v>-4.263256414560601e-14</x:v>
      </x:c>
      <x:c r="AA55" s="49" t="n">
        <x:f>'Scenario 2 Costs'!AA27-'Scenario 2 Costs'!AA58-'Scenario 2 Costs'!AA59+'Scenario 2 Costs'!AA62</x:f>
        <x:v>2.1316282072803006e-14</x:v>
      </x:c>
    </x:row>
    <x:row r="56" ht="21" customHeight="1">
      <x:c r="A56" s="1"/>
      <x:c r="B56" s="1"/>
      <x:c r="C56" s="1" t="str">
        <x:v>Debt reconciliation</x:v>
      </x:c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 t="n">
        <x:f>'Scenario 2 Costs'!P66-'Scenario 2 Costs'!P63-'Scenario 2 Costs'!P49</x:f>
        <x:v>0</x:v>
      </x:c>
      <x:c r="Q56" s="49" t="n">
        <x:f>'Scenario 2 Costs'!Q66-'Scenario 2 Costs'!Q63-'Scenario 2 Costs'!Q49</x:f>
        <x:v>0</x:v>
      </x:c>
      <x:c r="R56" s="49" t="n">
        <x:f>'Scenario 2 Costs'!R66-'Scenario 2 Costs'!R63-'Scenario 2 Costs'!R49</x:f>
        <x:v>0</x:v>
      </x:c>
      <x:c r="S56" s="49" t="n">
        <x:f>'Scenario 2 Costs'!S66-'Scenario 2 Costs'!S63-'Scenario 2 Costs'!S49</x:f>
        <x:v>0</x:v>
      </x:c>
      <x:c r="T56" s="49" t="n">
        <x:f>'Scenario 2 Costs'!T66-'Scenario 2 Costs'!T63-'Scenario 2 Costs'!T49</x:f>
        <x:v>0</x:v>
      </x:c>
      <x:c r="U56" s="49" t="n">
        <x:f>'Scenario 2 Costs'!U66-'Scenario 2 Costs'!U63-'Scenario 2 Costs'!U49</x:f>
        <x:v>0</x:v>
      </x:c>
      <x:c r="V56" s="49" t="n">
        <x:f>'Scenario 2 Costs'!V66-'Scenario 2 Costs'!V63-'Scenario 2 Costs'!V49</x:f>
        <x:v>0</x:v>
      </x:c>
      <x:c r="W56" s="49" t="n">
        <x:f>'Scenario 2 Costs'!W66-'Scenario 2 Costs'!W63-'Scenario 2 Costs'!W49</x:f>
        <x:v>0</x:v>
      </x:c>
      <x:c r="X56" s="49" t="n">
        <x:f>'Scenario 2 Costs'!X66-'Scenario 2 Costs'!X63-'Scenario 2 Costs'!X49</x:f>
        <x:v>0</x:v>
      </x:c>
      <x:c r="Y56" s="49" t="n">
        <x:f>'Scenario 2 Costs'!Y66-'Scenario 2 Costs'!Y63-'Scenario 2 Costs'!Y49</x:f>
        <x:v>0</x:v>
      </x:c>
      <x:c r="Z56" s="49" t="n">
        <x:f>'Scenario 2 Costs'!Z66-'Scenario 2 Costs'!Z63-'Scenario 2 Costs'!Z49</x:f>
        <x:v>0</x:v>
      </x:c>
      <x:c r="AA56" s="49" t="n">
        <x:f>'Scenario 2 Costs'!AA66-'Scenario 2 Costs'!AA63-'Scenario 2 Costs'!AA49</x:f>
        <x:v>0</x:v>
      </x:c>
    </x:row>
    <x:row r="57" ht="21" customHeight="1">
      <x:c r="A57" s="1"/>
      <x:c r="B57" s="1"/>
      <x:c r="C57" s="1" t="str">
        <x:v>Cash below zero</x:v>
      </x:c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 t="n">
        <x:f>MIN('Scenario 2 Costs'!P23,0)</x:f>
        <x:v>0</x:v>
      </x:c>
      <x:c r="Q57" s="49" t="n">
        <x:f>MIN('Scenario 2 Costs'!Q23,0)</x:f>
        <x:v>0</x:v>
      </x:c>
      <x:c r="R57" s="49" t="n">
        <x:f>MIN('Scenario 2 Costs'!R23,0)</x:f>
        <x:v>0</x:v>
      </x:c>
      <x:c r="S57" s="49" t="n">
        <x:f>MIN('Scenario 2 Costs'!S23,0)</x:f>
        <x:v>0</x:v>
      </x:c>
      <x:c r="T57" s="49" t="n">
        <x:f>MIN('Scenario 2 Costs'!T23,0)</x:f>
        <x:v>0</x:v>
      </x:c>
      <x:c r="U57" s="49" t="n">
        <x:f>MIN('Scenario 2 Costs'!U23,0)</x:f>
        <x:v>0</x:v>
      </x:c>
      <x:c r="V57" s="49" t="n">
        <x:f>MIN('Scenario 2 Costs'!V23,0)</x:f>
        <x:v>0</x:v>
      </x:c>
      <x:c r="W57" s="49" t="n">
        <x:f>MIN('Scenario 2 Costs'!W23,0)</x:f>
        <x:v>0</x:v>
      </x:c>
      <x:c r="X57" s="49" t="n">
        <x:f>MIN('Scenario 2 Costs'!X23,0)</x:f>
        <x:v>0</x:v>
      </x:c>
      <x:c r="Y57" s="49" t="n">
        <x:f>MIN('Scenario 2 Costs'!Y23,0)</x:f>
        <x:v>0</x:v>
      </x:c>
      <x:c r="Z57" s="49" t="n">
        <x:f>MIN('Scenario 2 Costs'!Z23,0)</x:f>
        <x:v>0</x:v>
      </x:c>
      <x:c r="AA57" s="49" t="n">
        <x:f>MIN('Scenario 2 Costs'!AA23,0)</x:f>
        <x:v>0</x:v>
      </x:c>
    </x:row>
    <x:row r="58" ht="21" customHeight="1">
      <x:c r="A58" s="1"/>
      <x:c r="B58" s="1"/>
      <x:c r="C58" s="1" t="str">
        <x:v>Cash operating expenses below zero</x:v>
      </x:c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 t="n">
        <x:f>MIN('Scenario 2 Costs'!P14,0)</x:f>
        <x:v>0</x:v>
      </x:c>
      <x:c r="Q58" s="49" t="n">
        <x:f>MIN('Scenario 2 Costs'!Q14,0)</x:f>
        <x:v>0</x:v>
      </x:c>
      <x:c r="R58" s="49" t="n">
        <x:f>MIN('Scenario 2 Costs'!R14,0)</x:f>
        <x:v>0</x:v>
      </x:c>
      <x:c r="S58" s="49" t="n">
        <x:f>MIN('Scenario 2 Costs'!S14,0)</x:f>
        <x:v>0</x:v>
      </x:c>
      <x:c r="T58" s="49" t="n">
        <x:f>MIN('Scenario 2 Costs'!T14,0)</x:f>
        <x:v>0</x:v>
      </x:c>
      <x:c r="U58" s="49" t="n">
        <x:f>MIN('Scenario 2 Costs'!U14,0)</x:f>
        <x:v>0</x:v>
      </x:c>
      <x:c r="V58" s="49" t="n">
        <x:f>MIN('Scenario 2 Costs'!V14,0)</x:f>
        <x:v>0</x:v>
      </x:c>
      <x:c r="W58" s="49" t="n">
        <x:f>MIN('Scenario 2 Costs'!W14,0)</x:f>
        <x:v>0</x:v>
      </x:c>
      <x:c r="X58" s="49" t="n">
        <x:f>MIN('Scenario 2 Costs'!X14,0)</x:f>
        <x:v>0</x:v>
      </x:c>
      <x:c r="Y58" s="49" t="n">
        <x:f>MIN('Scenario 2 Costs'!Y14,0)</x:f>
        <x:v>0</x:v>
      </x:c>
      <x:c r="Z58" s="49" t="n">
        <x:f>MIN('Scenario 2 Costs'!Z14,0)</x:f>
        <x:v>0</x:v>
      </x:c>
      <x:c r="AA58" s="49" t="n">
        <x:f>MIN('Scenario 2 Costs'!AA14,0)</x:f>
        <x:v>0</x:v>
      </x:c>
    </x:row>
    <x:row r="59" ht="21" customHeight="1">
      <x:c r="A59" s="1"/>
      <x:c r="B59" s="1"/>
      <x:c r="C59" s="1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  <x:c r="AA59" s="49"/>
    </x:row>
    <x:row r="60" ht="21" customHeight="1">
      <x:c r="A60" s="1"/>
      <x:c r="B60" s="1"/>
      <x:c r="C60" s="1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  <x:c r="AA60" s="49"/>
    </x:row>
    <x:row r="61" ht="21" customHeight="1">
      <x:c r="A61" s="1"/>
      <x:c r="B61" s="1"/>
      <x:c r="C61" s="1" t="str">
        <x:v>Missing policy inputs</x:v>
      </x:c>
      <x:c r="D61" s="49" t="n">
        <x:f>18-COUNT(Assumptions!D47:F52)</x:f>
        <x:v>0</x:v>
      </x:c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  <x:c r="AA61" s="49"/>
    </x:row>
    <x:row r="62" ht="21" customHeight="1">
      <x:c r="A62" s="1"/>
      <x:c r="B62" s="1"/>
      <x:c r="C62" s="1" t="str">
        <x:v>Missing cost inputs</x:v>
      </x:c>
      <x:c r="D62" s="49" t="n">
        <x:f>18-COUNT(Assumptions!D61:F66)</x:f>
        <x:v>0</x:v>
      </x:c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  <x:c r="AA62" s="49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A65" s="1"/>
      <x:c r="B65" s="1"/>
      <x:c r="C65" s="55" t="str">
        <x:v>Scenario 3 temporary demand</x:v>
      </x:c>
      <x:c r="D65" s="56"/>
      <x:c r="E65" s="56"/>
      <x:c r="F65" s="56"/>
      <x:c r="G65" s="56"/>
      <x:c r="H65" s="56"/>
      <x:c r="I65" s="56"/>
      <x:c r="J65" s="56"/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  <x:c r="Z65" s="56"/>
      <x:c r="AA65" s="56"/>
    </x:row>
    <x:row r="66" ht="21" customHeight="1">
      <x:c r="A66" s="1"/>
      <x:c r="B66" s="1"/>
      <x:c r="C66" s="1" t="str">
        <x:v>Assets less liabilities and equity</x:v>
      </x:c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 t="n">
        <x:f>'Scenario 3 Demand'!P28-'Scenario 3 Demand'!P38</x:f>
        <x:v>2.2737367544323206e-13</x:v>
      </x:c>
      <x:c r="Q66" s="49" t="n">
        <x:f>'Scenario 3 Demand'!Q28-'Scenario 3 Demand'!Q38</x:f>
        <x:v>2.2737367544323206e-13</x:v>
      </x:c>
      <x:c r="R66" s="49" t="n">
        <x:f>'Scenario 3 Demand'!R28-'Scenario 3 Demand'!R38</x:f>
        <x:v>0</x:v>
      </x:c>
      <x:c r="S66" s="49" t="n">
        <x:f>'Scenario 3 Demand'!S28-'Scenario 3 Demand'!S38</x:f>
        <x:v>2.2737367544323206e-13</x:v>
      </x:c>
      <x:c r="T66" s="49" t="n">
        <x:f>'Scenario 3 Demand'!T28-'Scenario 3 Demand'!T38</x:f>
        <x:v>0</x:v>
      </x:c>
      <x:c r="U66" s="49" t="n">
        <x:f>'Scenario 3 Demand'!U28-'Scenario 3 Demand'!U38</x:f>
        <x:v>2.2737367544323206e-13</x:v>
      </x:c>
      <x:c r="V66" s="49" t="n">
        <x:f>'Scenario 3 Demand'!V28-'Scenario 3 Demand'!V38</x:f>
        <x:v>2.2737367544323206e-13</x:v>
      </x:c>
      <x:c r="W66" s="49" t="n">
        <x:f>'Scenario 3 Demand'!W28-'Scenario 3 Demand'!W38</x:f>
        <x:v>0</x:v>
      </x:c>
      <x:c r="X66" s="49" t="n">
        <x:f>'Scenario 3 Demand'!X28-'Scenario 3 Demand'!X38</x:f>
        <x:v>0</x:v>
      </x:c>
      <x:c r="Y66" s="49" t="n">
        <x:f>'Scenario 3 Demand'!Y28-'Scenario 3 Demand'!Y38</x:f>
        <x:v>2.2737367544323206e-13</x:v>
      </x:c>
      <x:c r="Z66" s="49" t="n">
        <x:f>'Scenario 3 Demand'!Z28-'Scenario 3 Demand'!Z38</x:f>
        <x:v>0</x:v>
      </x:c>
      <x:c r="AA66" s="49" t="n">
        <x:f>'Scenario 3 Demand'!AA28-'Scenario 3 Demand'!AA38</x:f>
        <x:v>0</x:v>
      </x:c>
    </x:row>
    <x:row r="67" ht="21" customHeight="1">
      <x:c r="A67" s="1"/>
      <x:c r="B67" s="1"/>
      <x:c r="C67" s="1" t="str">
        <x:v>Cash categories less change in cash</x:v>
      </x:c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 t="n">
        <x:f>SUM('Scenario 3 Demand'!P46,'Scenario 3 Demand'!P48,'Scenario 3 Demand'!P52)-'Scenario 3 Demand'!P53</x:f>
        <x:v>0</x:v>
      </x:c>
      <x:c r="Q67" s="49" t="n">
        <x:f>SUM('Scenario 3 Demand'!Q46,'Scenario 3 Demand'!Q48,'Scenario 3 Demand'!Q52)-'Scenario 3 Demand'!Q53</x:f>
        <x:v>0</x:v>
      </x:c>
      <x:c r="R67" s="49" t="n">
        <x:f>SUM('Scenario 3 Demand'!R46,'Scenario 3 Demand'!R48,'Scenario 3 Demand'!R52)-'Scenario 3 Demand'!R53</x:f>
        <x:v>0</x:v>
      </x:c>
      <x:c r="S67" s="49" t="n">
        <x:f>SUM('Scenario 3 Demand'!S46,'Scenario 3 Demand'!S48,'Scenario 3 Demand'!S52)-'Scenario 3 Demand'!S53</x:f>
        <x:v>0</x:v>
      </x:c>
      <x:c r="T67" s="49" t="n">
        <x:f>SUM('Scenario 3 Demand'!T46,'Scenario 3 Demand'!T48,'Scenario 3 Demand'!T52)-'Scenario 3 Demand'!T53</x:f>
        <x:v>0</x:v>
      </x:c>
      <x:c r="U67" s="49" t="n">
        <x:f>SUM('Scenario 3 Demand'!U46,'Scenario 3 Demand'!U48,'Scenario 3 Demand'!U52)-'Scenario 3 Demand'!U53</x:f>
        <x:v>0</x:v>
      </x:c>
      <x:c r="V67" s="49" t="n">
        <x:f>SUM('Scenario 3 Demand'!V46,'Scenario 3 Demand'!V48,'Scenario 3 Demand'!V52)-'Scenario 3 Demand'!V53</x:f>
        <x:v>0</x:v>
      </x:c>
      <x:c r="W67" s="49" t="n">
        <x:f>SUM('Scenario 3 Demand'!W46,'Scenario 3 Demand'!W48,'Scenario 3 Demand'!W52)-'Scenario 3 Demand'!W53</x:f>
        <x:v>0</x:v>
      </x:c>
      <x:c r="X67" s="49" t="n">
        <x:f>SUM('Scenario 3 Demand'!X46,'Scenario 3 Demand'!X48,'Scenario 3 Demand'!X52)-'Scenario 3 Demand'!X53</x:f>
        <x:v>0</x:v>
      </x:c>
      <x:c r="Y67" s="49" t="n">
        <x:f>SUM('Scenario 3 Demand'!Y46,'Scenario 3 Demand'!Y48,'Scenario 3 Demand'!Y52)-'Scenario 3 Demand'!Y53</x:f>
        <x:v>0</x:v>
      </x:c>
      <x:c r="Z67" s="49" t="n">
        <x:f>SUM('Scenario 3 Demand'!Z46,'Scenario 3 Demand'!Z48,'Scenario 3 Demand'!Z52)-'Scenario 3 Demand'!Z53</x:f>
        <x:v>0</x:v>
      </x:c>
      <x:c r="AA67" s="49" t="n">
        <x:f>SUM('Scenario 3 Demand'!AA46,'Scenario 3 Demand'!AA48,'Scenario 3 Demand'!AA52)-'Scenario 3 Demand'!AA53</x:f>
        <x:v>0</x:v>
      </x:c>
    </x:row>
    <x:row r="68" ht="21" customHeight="1">
      <x:c r="A68" s="1"/>
      <x:c r="B68" s="1"/>
      <x:c r="C68" s="1" t="str">
        <x:v>Opening cash plus change less closing</x:v>
      </x:c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 t="n">
        <x:f>'Scenario 3 Demand'!P54+'Scenario 3 Demand'!P53-'Scenario 3 Demand'!P55</x:f>
        <x:v>0</x:v>
      </x:c>
      <x:c r="Q68" s="49" t="n">
        <x:f>'Scenario 3 Demand'!Q54+'Scenario 3 Demand'!Q53-'Scenario 3 Demand'!Q55</x:f>
        <x:v>0</x:v>
      </x:c>
      <x:c r="R68" s="49" t="n">
        <x:f>'Scenario 3 Demand'!R54+'Scenario 3 Demand'!R53-'Scenario 3 Demand'!R55</x:f>
        <x:v>0</x:v>
      </x:c>
      <x:c r="S68" s="49" t="n">
        <x:f>'Scenario 3 Demand'!S54+'Scenario 3 Demand'!S53-'Scenario 3 Demand'!S55</x:f>
        <x:v>0</x:v>
      </x:c>
      <x:c r="T68" s="49" t="n">
        <x:f>'Scenario 3 Demand'!T54+'Scenario 3 Demand'!T53-'Scenario 3 Demand'!T55</x:f>
        <x:v>0</x:v>
      </x:c>
      <x:c r="U68" s="49" t="n">
        <x:f>'Scenario 3 Demand'!U54+'Scenario 3 Demand'!U53-'Scenario 3 Demand'!U55</x:f>
        <x:v>0</x:v>
      </x:c>
      <x:c r="V68" s="49" t="n">
        <x:f>'Scenario 3 Demand'!V54+'Scenario 3 Demand'!V53-'Scenario 3 Demand'!V55</x:f>
        <x:v>0</x:v>
      </x:c>
      <x:c r="W68" s="49" t="n">
        <x:f>'Scenario 3 Demand'!W54+'Scenario 3 Demand'!W53-'Scenario 3 Demand'!W55</x:f>
        <x:v>0</x:v>
      </x:c>
      <x:c r="X68" s="49" t="n">
        <x:f>'Scenario 3 Demand'!X54+'Scenario 3 Demand'!X53-'Scenario 3 Demand'!X55</x:f>
        <x:v>0</x:v>
      </x:c>
      <x:c r="Y68" s="49" t="n">
        <x:f>'Scenario 3 Demand'!Y54+'Scenario 3 Demand'!Y53-'Scenario 3 Demand'!Y55</x:f>
        <x:v>0</x:v>
      </x:c>
      <x:c r="Z68" s="49" t="n">
        <x:f>'Scenario 3 Demand'!Z54+'Scenario 3 Demand'!Z53-'Scenario 3 Demand'!Z55</x:f>
        <x:v>0</x:v>
      </x:c>
      <x:c r="AA68" s="49" t="n">
        <x:f>'Scenario 3 Demand'!AA54+'Scenario 3 Demand'!AA53-'Scenario 3 Demand'!AA55</x:f>
        <x:v>0</x:v>
      </x:c>
    </x:row>
    <x:row r="69" ht="21" customHeight="1">
      <x:c r="A69" s="1"/>
      <x:c r="B69" s="1"/>
      <x:c r="C69" s="1" t="str">
        <x:v>Cash balance less closing cash flow</x:v>
      </x:c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 t="n">
        <x:f>'Scenario 3 Demand'!P23-'Scenario 3 Demand'!P55</x:f>
        <x:v>0</x:v>
      </x:c>
      <x:c r="Q69" s="49" t="n">
        <x:f>'Scenario 3 Demand'!Q23-'Scenario 3 Demand'!Q55</x:f>
        <x:v>0</x:v>
      </x:c>
      <x:c r="R69" s="49" t="n">
        <x:f>'Scenario 3 Demand'!R23-'Scenario 3 Demand'!R55</x:f>
        <x:v>0</x:v>
      </x:c>
      <x:c r="S69" s="49" t="n">
        <x:f>'Scenario 3 Demand'!S23-'Scenario 3 Demand'!S55</x:f>
        <x:v>0</x:v>
      </x:c>
      <x:c r="T69" s="49" t="n">
        <x:f>'Scenario 3 Demand'!T23-'Scenario 3 Demand'!T55</x:f>
        <x:v>0</x:v>
      </x:c>
      <x:c r="U69" s="49" t="n">
        <x:f>'Scenario 3 Demand'!U23-'Scenario 3 Demand'!U55</x:f>
        <x:v>0</x:v>
      </x:c>
      <x:c r="V69" s="49" t="n">
        <x:f>'Scenario 3 Demand'!V23-'Scenario 3 Demand'!V55</x:f>
        <x:v>0</x:v>
      </x:c>
      <x:c r="W69" s="49" t="n">
        <x:f>'Scenario 3 Demand'!W23-'Scenario 3 Demand'!W55</x:f>
        <x:v>0</x:v>
      </x:c>
      <x:c r="X69" s="49" t="n">
        <x:f>'Scenario 3 Demand'!X23-'Scenario 3 Demand'!X55</x:f>
        <x:v>0</x:v>
      </x:c>
      <x:c r="Y69" s="49" t="n">
        <x:f>'Scenario 3 Demand'!Y23-'Scenario 3 Demand'!Y55</x:f>
        <x:v>0</x:v>
      </x:c>
      <x:c r="Z69" s="49" t="n">
        <x:f>'Scenario 3 Demand'!Z23-'Scenario 3 Demand'!Z55</x:f>
        <x:v>0</x:v>
      </x:c>
      <x:c r="AA69" s="49" t="n">
        <x:f>'Scenario 3 Demand'!AA23-'Scenario 3 Demand'!AA55</x:f>
        <x:v>0</x:v>
      </x:c>
    </x:row>
    <x:row r="70" ht="21" customHeight="1">
      <x:c r="A70" s="1"/>
      <x:c r="B70" s="1"/>
      <x:c r="C70" s="1" t="str">
        <x:v>Retained earnings reconciliation</x:v>
      </x:c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 t="n">
        <x:f>'Scenario 3 Demand'!P36-'Scenario 3 Demand'!O36-'Scenario 3 Demand'!P20-'Scenario 3 Demand'!P51</x:f>
        <x:v>-2.1316282072803006e-14</x:v>
      </x:c>
      <x:c r="Q70" s="49" t="n">
        <x:f>'Scenario 3 Demand'!Q36-'Scenario 3 Demand'!P36-'Scenario 3 Demand'!Q20-'Scenario 3 Demand'!Q51</x:f>
        <x:v>2.4868995751603507e-14</x:v>
      </x:c>
      <x:c r="R70" s="49" t="n">
        <x:f>'Scenario 3 Demand'!R36-'Scenario 3 Demand'!Q36-'Scenario 3 Demand'!R20-'Scenario 3 Demand'!R51</x:f>
        <x:v>1.5987211554602254e-14</x:v>
      </x:c>
      <x:c r="S70" s="49" t="n">
        <x:f>'Scenario 3 Demand'!S36-'Scenario 3 Demand'!R36-'Scenario 3 Demand'!S20-'Scenario 3 Demand'!S51</x:f>
        <x:v>1.0658141036401503e-14</x:v>
      </x:c>
      <x:c r="T70" s="49" t="n">
        <x:f>'Scenario 3 Demand'!T36-'Scenario 3 Demand'!S36-'Scenario 3 Demand'!T20-'Scenario 3 Demand'!T51</x:f>
        <x:v>7.105427357601002e-15</x:v>
      </x:c>
      <x:c r="U70" s="49" t="n">
        <x:f>'Scenario 3 Demand'!U36-'Scenario 3 Demand'!T36-'Scenario 3 Demand'!U20-'Scenario 3 Demand'!U51</x:f>
        <x:v>0</x:v>
      </x:c>
      <x:c r="V70" s="49" t="n">
        <x:f>'Scenario 3 Demand'!V36-'Scenario 3 Demand'!U36-'Scenario 3 Demand'!V20-'Scenario 3 Demand'!V51</x:f>
        <x:v>2.1316282072803006e-14</x:v>
      </x:c>
      <x:c r="W70" s="49" t="n">
        <x:f>'Scenario 3 Demand'!W36-'Scenario 3 Demand'!V36-'Scenario 3 Demand'!W20-'Scenario 3 Demand'!W51</x:f>
        <x:v>4.973799150320701e-14</x:v>
      </x:c>
      <x:c r="X70" s="49" t="n">
        <x:f>'Scenario 3 Demand'!X36-'Scenario 3 Demand'!W36-'Scenario 3 Demand'!X20-'Scenario 3 Demand'!X51</x:f>
        <x:v>3.552713678800501e-14</x:v>
      </x:c>
      <x:c r="Y70" s="49" t="n">
        <x:f>'Scenario 3 Demand'!Y36-'Scenario 3 Demand'!X36-'Scenario 3 Demand'!Y20-'Scenario 3 Demand'!Y51</x:f>
        <x:v>1.4210854715202004e-14</x:v>
      </x:c>
      <x:c r="Z70" s="49" t="n">
        <x:f>'Scenario 3 Demand'!Z36-'Scenario 3 Demand'!Y36-'Scenario 3 Demand'!Z20-'Scenario 3 Demand'!Z51</x:f>
        <x:v>2.842170943040401e-14</x:v>
      </x:c>
      <x:c r="AA70" s="49" t="n">
        <x:f>'Scenario 3 Demand'!AA36-'Scenario 3 Demand'!Z36-'Scenario 3 Demand'!AA20-'Scenario 3 Demand'!AA51</x:f>
        <x:v>-7.105427357601002e-15</x:v>
      </x:c>
    </x:row>
    <x:row r="71" ht="21" customHeight="1">
      <x:c r="A71" s="1"/>
      <x:c r="B71" s="1"/>
      <x:c r="C71" s="1" t="str">
        <x:v>PPE reconciliation</x:v>
      </x:c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 t="n">
        <x:f>'Scenario 3 Demand'!P27-'Scenario 3 Demand'!P58-'Scenario 3 Demand'!P59+'Scenario 3 Demand'!P62</x:f>
        <x:v>1.5987211554602254e-14</x:v>
      </x:c>
      <x:c r="Q71" s="49" t="n">
        <x:f>'Scenario 3 Demand'!Q27-'Scenario 3 Demand'!Q58-'Scenario 3 Demand'!Q59+'Scenario 3 Demand'!Q62</x:f>
        <x:v>-7.105427357601002e-15</x:v>
      </x:c>
      <x:c r="R71" s="49" t="n">
        <x:f>'Scenario 3 Demand'!R27-'Scenario 3 Demand'!R58-'Scenario 3 Demand'!R59+'Scenario 3 Demand'!R62</x:f>
        <x:v>-1.4210854715202004e-14</x:v>
      </x:c>
      <x:c r="S71" s="49" t="n">
        <x:f>'Scenario 3 Demand'!S27-'Scenario 3 Demand'!S58-'Scenario 3 Demand'!S59+'Scenario 3 Demand'!S62</x:f>
        <x:v>-3.197442310920451e-14</x:v>
      </x:c>
      <x:c r="T71" s="49" t="n">
        <x:f>'Scenario 3 Demand'!T27-'Scenario 3 Demand'!T58-'Scenario 3 Demand'!T59+'Scenario 3 Demand'!T62</x:f>
        <x:v>4.263256414560601e-14</x:v>
      </x:c>
      <x:c r="U71" s="49" t="n">
        <x:f>'Scenario 3 Demand'!U27-'Scenario 3 Demand'!U58-'Scenario 3 Demand'!U59+'Scenario 3 Demand'!U62</x:f>
        <x:v>6.750155989720952e-14</x:v>
      </x:c>
      <x:c r="V71" s="49" t="n">
        <x:f>'Scenario 3 Demand'!V27-'Scenario 3 Demand'!V58-'Scenario 3 Demand'!V59+'Scenario 3 Demand'!V62</x:f>
        <x:v>7.815970093361102e-14</x:v>
      </x:c>
      <x:c r="W71" s="49" t="n">
        <x:f>'Scenario 3 Demand'!W27-'Scenario 3 Demand'!W58-'Scenario 3 Demand'!W59+'Scenario 3 Demand'!W62</x:f>
        <x:v>-3.552713678800501e-15</x:v>
      </x:c>
      <x:c r="X71" s="49" t="n">
        <x:f>'Scenario 3 Demand'!X27-'Scenario 3 Demand'!X58-'Scenario 3 Demand'!X59+'Scenario 3 Demand'!X62</x:f>
        <x:v>-7.460698725481052e-14</x:v>
      </x:c>
      <x:c r="Y71" s="49" t="n">
        <x:f>'Scenario 3 Demand'!Y27-'Scenario 3 Demand'!Y58-'Scenario 3 Demand'!Y59+'Scenario 3 Demand'!Y62</x:f>
        <x:v>9.237055564881302e-14</x:v>
      </x:c>
      <x:c r="Z71" s="49" t="n">
        <x:f>'Scenario 3 Demand'!Z27-'Scenario 3 Demand'!Z58-'Scenario 3 Demand'!Z59+'Scenario 3 Demand'!Z62</x:f>
        <x:v>-4.263256414560601e-14</x:v>
      </x:c>
      <x:c r="AA71" s="49" t="n">
        <x:f>'Scenario 3 Demand'!AA27-'Scenario 3 Demand'!AA58-'Scenario 3 Demand'!AA59+'Scenario 3 Demand'!AA62</x:f>
        <x:v>2.1316282072803006e-14</x:v>
      </x:c>
    </x:row>
    <x:row r="72" ht="21" customHeight="1">
      <x:c r="A72" s="1"/>
      <x:c r="B72" s="1"/>
      <x:c r="C72" s="1" t="str">
        <x:v>Debt reconciliation</x:v>
      </x:c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 t="n">
        <x:f>'Scenario 3 Demand'!P66-'Scenario 3 Demand'!P63-'Scenario 3 Demand'!P49</x:f>
        <x:v>0</x:v>
      </x:c>
      <x:c r="Q72" s="49" t="n">
        <x:f>'Scenario 3 Demand'!Q66-'Scenario 3 Demand'!Q63-'Scenario 3 Demand'!Q49</x:f>
        <x:v>0</x:v>
      </x:c>
      <x:c r="R72" s="49" t="n">
        <x:f>'Scenario 3 Demand'!R66-'Scenario 3 Demand'!R63-'Scenario 3 Demand'!R49</x:f>
        <x:v>0</x:v>
      </x:c>
      <x:c r="S72" s="49" t="n">
        <x:f>'Scenario 3 Demand'!S66-'Scenario 3 Demand'!S63-'Scenario 3 Demand'!S49</x:f>
        <x:v>0</x:v>
      </x:c>
      <x:c r="T72" s="49" t="n">
        <x:f>'Scenario 3 Demand'!T66-'Scenario 3 Demand'!T63-'Scenario 3 Demand'!T49</x:f>
        <x:v>0</x:v>
      </x:c>
      <x:c r="U72" s="49" t="n">
        <x:f>'Scenario 3 Demand'!U66-'Scenario 3 Demand'!U63-'Scenario 3 Demand'!U49</x:f>
        <x:v>0</x:v>
      </x:c>
      <x:c r="V72" s="49" t="n">
        <x:f>'Scenario 3 Demand'!V66-'Scenario 3 Demand'!V63-'Scenario 3 Demand'!V49</x:f>
        <x:v>0</x:v>
      </x:c>
      <x:c r="W72" s="49" t="n">
        <x:f>'Scenario 3 Demand'!W66-'Scenario 3 Demand'!W63-'Scenario 3 Demand'!W49</x:f>
        <x:v>0</x:v>
      </x:c>
      <x:c r="X72" s="49" t="n">
        <x:f>'Scenario 3 Demand'!X66-'Scenario 3 Demand'!X63-'Scenario 3 Demand'!X49</x:f>
        <x:v>0</x:v>
      </x:c>
      <x:c r="Y72" s="49" t="n">
        <x:f>'Scenario 3 Demand'!Y66-'Scenario 3 Demand'!Y63-'Scenario 3 Demand'!Y49</x:f>
        <x:v>0</x:v>
      </x:c>
      <x:c r="Z72" s="49" t="n">
        <x:f>'Scenario 3 Demand'!Z66-'Scenario 3 Demand'!Z63-'Scenario 3 Demand'!Z49</x:f>
        <x:v>0</x:v>
      </x:c>
      <x:c r="AA72" s="49" t="n">
        <x:f>'Scenario 3 Demand'!AA66-'Scenario 3 Demand'!AA63-'Scenario 3 Demand'!AA49</x:f>
        <x:v>0</x:v>
      </x:c>
    </x:row>
    <x:row r="73" ht="21" customHeight="1">
      <x:c r="A73" s="1"/>
      <x:c r="B73" s="1"/>
      <x:c r="C73" s="1" t="str">
        <x:v>Cash below zero</x:v>
      </x:c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 t="n">
        <x:f>MIN('Scenario 3 Demand'!P23,0)</x:f>
        <x:v>0</x:v>
      </x:c>
      <x:c r="Q73" s="49" t="n">
        <x:f>MIN('Scenario 3 Demand'!Q23,0)</x:f>
        <x:v>0</x:v>
      </x:c>
      <x:c r="R73" s="49" t="n">
        <x:f>MIN('Scenario 3 Demand'!R23,0)</x:f>
        <x:v>0</x:v>
      </x:c>
      <x:c r="S73" s="49" t="n">
        <x:f>MIN('Scenario 3 Demand'!S23,0)</x:f>
        <x:v>0</x:v>
      </x:c>
      <x:c r="T73" s="49" t="n">
        <x:f>MIN('Scenario 3 Demand'!T23,0)</x:f>
        <x:v>0</x:v>
      </x:c>
      <x:c r="U73" s="49" t="n">
        <x:f>MIN('Scenario 3 Demand'!U23,0)</x:f>
        <x:v>0</x:v>
      </x:c>
      <x:c r="V73" s="49" t="n">
        <x:f>MIN('Scenario 3 Demand'!V23,0)</x:f>
        <x:v>0</x:v>
      </x:c>
      <x:c r="W73" s="49" t="n">
        <x:f>MIN('Scenario 3 Demand'!W23,0)</x:f>
        <x:v>0</x:v>
      </x:c>
      <x:c r="X73" s="49" t="n">
        <x:f>MIN('Scenario 3 Demand'!X23,0)</x:f>
        <x:v>0</x:v>
      </x:c>
      <x:c r="Y73" s="49" t="n">
        <x:f>MIN('Scenario 3 Demand'!Y23,0)</x:f>
        <x:v>0</x:v>
      </x:c>
      <x:c r="Z73" s="49" t="n">
        <x:f>MIN('Scenario 3 Demand'!Z23,0)</x:f>
        <x:v>0</x:v>
      </x:c>
      <x:c r="AA73" s="49" t="n">
        <x:f>MIN('Scenario 3 Demand'!AA23,0)</x:f>
        <x:v>0</x:v>
      </x:c>
    </x:row>
    <x:row r="74" ht="21" customHeight="1">
      <x:c r="A74" s="1"/>
      <x:c r="B74" s="1"/>
      <x:c r="C74" s="1" t="str">
        <x:v>Cash operating expenses below zero</x:v>
      </x:c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 t="n">
        <x:f>MIN('Scenario 3 Demand'!P14,0)</x:f>
        <x:v>0</x:v>
      </x:c>
      <x:c r="Q74" s="49" t="n">
        <x:f>MIN('Scenario 3 Demand'!Q14,0)</x:f>
        <x:v>0</x:v>
      </x:c>
      <x:c r="R74" s="49" t="n">
        <x:f>MIN('Scenario 3 Demand'!R14,0)</x:f>
        <x:v>0</x:v>
      </x:c>
      <x:c r="S74" s="49" t="n">
        <x:f>MIN('Scenario 3 Demand'!S14,0)</x:f>
        <x:v>0</x:v>
      </x:c>
      <x:c r="T74" s="49" t="n">
        <x:f>MIN('Scenario 3 Demand'!T14,0)</x:f>
        <x:v>0</x:v>
      </x:c>
      <x:c r="U74" s="49" t="n">
        <x:f>MIN('Scenario 3 Demand'!U14,0)</x:f>
        <x:v>0</x:v>
      </x:c>
      <x:c r="V74" s="49" t="n">
        <x:f>MIN('Scenario 3 Demand'!V14,0)</x:f>
        <x:v>0</x:v>
      </x:c>
      <x:c r="W74" s="49" t="n">
        <x:f>MIN('Scenario 3 Demand'!W14,0)</x:f>
        <x:v>0</x:v>
      </x:c>
      <x:c r="X74" s="49" t="n">
        <x:f>MIN('Scenario 3 Demand'!X14,0)</x:f>
        <x:v>0</x:v>
      </x:c>
      <x:c r="Y74" s="49" t="n">
        <x:f>MIN('Scenario 3 Demand'!Y14,0)</x:f>
        <x:v>0</x:v>
      </x:c>
      <x:c r="Z74" s="49" t="n">
        <x:f>MIN('Scenario 3 Demand'!Z14,0)</x:f>
        <x:v>0</x:v>
      </x:c>
      <x:c r="AA74" s="49" t="n">
        <x:f>MIN('Scenario 3 Demand'!AA14,0)</x:f>
        <x:v>0</x:v>
      </x:c>
    </x:row>
    <x:row r="75" ht="21" customHeight="1">
      <x:c r="A75" s="1"/>
      <x:c r="B75" s="1"/>
      <x:c r="C75" s="1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  <x:c r="AA75" s="49"/>
    </x:row>
    <x:row r="76" ht="21" customHeight="1">
      <x:c r="A76" s="1"/>
      <x:c r="B76" s="1"/>
      <x:c r="C76" s="1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  <x:c r="AA76" s="49"/>
    </x:row>
    <x:row r="77" ht="21" customHeight="1">
      <x:c r="A77" s="1"/>
      <x:c r="B77" s="1"/>
      <x:c r="C77" s="1" t="str">
        <x:v>Missing demand inputs</x:v>
      </x:c>
      <x:c r="D77" s="49" t="n">
        <x:f>18-COUNT(Assumptions!D79:F84)</x:f>
        <x:v>0</x:v>
      </x:c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  <x:c r="AA77" s="49"/>
    </x:row>
    <x:row r="78" ht="21" customHeight="1">
      <x:c r="A78" s="1"/>
      <x:c r="B78" s="1"/>
      <x:c r="C78" s="1" t="str">
        <x:v>2024 cost cash bridge residual</x:v>
      </x:c>
      <x:c r="D78" s="49" t="n">
        <x:f>Summary!F82-Summary!D83</x:f>
        <x:v>2.842170943040401e-14</x:v>
      </x:c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  <x:c r="AA78" s="49"/>
    </x:row>
    <x:row r="79" ht="21" customHeight="1">
      <x:c r="A79" s="1"/>
      <x:c r="B79" s="1"/>
      <x:c r="C79" s="1" t="str">
        <x:v>2024 cost recovery residual</x:v>
      </x:c>
      <x:c r="D79" s="49" t="n">
        <x:f>Summary!D91-Summary!D92-Summary!D93</x:f>
        <x:v>0</x:v>
      </x:c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  <x:c r="AA79" s="49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 ht="21" customHeight="1">
      <x:c r="A151" s="1"/>
      <x:c r="B151" s="1"/>
      <x:c r="C151" s="1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 ht="21" customHeight="1">
      <x:c r="A152" s="1"/>
      <x:c r="B152" s="1"/>
      <x:c r="C152" s="1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 ht="21" customHeight="1">
      <x:c r="A153" s="1"/>
      <x:c r="B153" s="1"/>
      <x:c r="C153" s="1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 ht="21" customHeight="1">
      <x:c r="A154" s="1"/>
      <x:c r="B154" s="1"/>
      <x:c r="C154" s="1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 ht="21" customHeight="1">
      <x:c r="A155" s="1"/>
      <x:c r="B155" s="1"/>
      <x:c r="C155" s="1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</x:sheetData>
  <x:conditionalFormatting sqref="D8:AA62">
    <x:cfRule type="expression" dxfId="0" priority="1">
      <x:formula>AND(ISNUMBER(D8),ABS(D8)&gt;0.000001)</x:formula>
    </x:cfRule>
  </x:conditionalFormatting>
  <x:conditionalFormatting sqref="D66:AA79">
    <x:cfRule type="expression" dxfId="1" priority="2">
      <x:formula>AND(ISNUMBER(D66),ABS(D66)&gt;0.000001)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8AEB6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1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A2" s="1"/>
      <x:c r="B2" s="1"/>
      <x:c r="C2" s="3" t="str">
        <x:v>AST master methodology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</x:row>
    <x:row r="5" ht="33" customHeight="1">
      <x:c r="A5" s="1"/>
      <x:c r="B5" s="1"/>
      <x:c r="C5" s="51" t="str">
        <x:v>Scope: one master with dedicated live Base Case, Scenario 1 Policy, Scenario 2 Costs and Scenario 3 Demand tabs.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</x:row>
    <x:row r="6" ht="33" customHeight="1">
      <x:c r="A6" s="1"/>
      <x:c r="B6" s="1"/>
      <x:c r="C6" s="51" t="str">
        <x:v>All cases share Assumptions and Source. Quarterly statements are above; annual statements begin at row 92.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</x:row>
    <x:row r="7" ht="33" customHeight="1">
      <x:c r="A7" s="1"/>
      <x:c r="B7" s="1"/>
      <x:c r="C7" s="51" t="str">
        <x:v>Forecast origin: 31 December 2023. Fictional planning exercise; no later actual events or probabilities are used.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33" customHeight="1">
      <x:c r="A8" s="1"/>
      <x:c r="B8" s="1"/>
      <x:c r="C8" s="51" t="str">
        <x:v>Source: user-supplied AcmeSolar_MachineReadable(3).csv and Acme Solar Technologies Case Study(3).docx.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33" customHeight="1">
      <x:c r="A9" s="1"/>
      <x:c r="B9" s="1"/>
      <x:c r="C9" s="51" t="str">
        <x:v>The original base and policy workbooks are unchanged. The master reproduces their approved results.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33" customHeight="1">
      <x:c r="A10" s="1"/>
      <x:c r="B10" s="1"/>
      <x:c r="C10" s="51" t="str">
        <x:v>Historical opening cash is inferred at 21.8 and Q1 2021 cash change at 29.2. Raw values remain intact in Source.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33" customHeight="1">
      <x:c r="A11" s="1"/>
      <x:c r="B11" s="1"/>
      <x:c r="C11" s="51" t="str">
        <x:v>A fixed -0.2 opening equity difference remains separately visible. It is not an identified correction or a forecast plug.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33" customHeight="1">
      <x:c r="A12" s="1"/>
      <x:c r="B12" s="1"/>
      <x:c r="C12" s="51" t="str">
        <x:v>Base growth: 10%, 9%, 8%. Quarterly shares average within-year shares in 2021–2023. Gross margin is 40%.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33" customHeight="1">
      <x:c r="A13" s="1"/>
      <x:c r="B13" s="1"/>
      <x:c r="C13" s="51" t="str">
        <x:v>Base total opex is 200/950 of sales. Forecast depreciation is included in this envelope; cash opex is the residual.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33" customHeight="1">
      <x:c r="A14" s="1"/>
      <x:c r="B14" s="1"/>
      <x:c r="C14" s="51" t="str">
        <x:v>Historical D&amp;A/gross capex are unavailable. Forecast D&amp;A add-backs make historical and forecast cash flow imperfectly comparable.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33" customHeight="1">
      <x:c r="A15" s="1"/>
      <x:c r="B15" s="1"/>
      <x:c r="C15" s="51" t="str">
        <x:v>Existing net PP&amp;E has an assumed ten-year remaining life; new capex a ten-year life, zero residual and half-quarter first depreciation.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33" customHeight="1">
      <x:c r="A16" s="1"/>
      <x:c r="B16" s="1"/>
      <x:c r="C16" s="51" t="str">
        <x:v>Capex is 10% of baseline revenue; no disposals are assumed. All adverse cases retain the same dollar spending.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33" customHeight="1">
      <x:c r="A17" s="1"/>
      <x:c r="B17" s="1"/>
      <x:c r="C17" s="51" t="str">
        <x:v>DSO/DIO/DPO use quarter-end 2023 balances divided by quarterly flows times actual days. COGS proxies purchases for DPO.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33" customHeight="1">
      <x:c r="A18" s="1"/>
      <x:c r="B18" s="1"/>
      <x:c r="C18" s="51" t="str">
        <x:v>Borrowing rate is 20/355, a proxy. Principal repayments are 50 annually, evenly quarterly; later maturities are assumed.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33" customHeight="1">
      <x:c r="A19" s="1"/>
      <x:c r="B19" s="1"/>
      <x:c r="C19" s="51" t="str">
        <x:v>Interest uses average quarterly debt. Tax is 25% of positive pretax income. No new debt, equity, dividends or cash interest.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33" customHeight="1">
      <x:c r="A20" s="1"/>
      <x:c r="B20" s="1"/>
      <x:c r="C20" s="51" t="str">
        <x:v>Policy: volumes -10%, prices -2%, DSO +5 days, DIO +10 days; payable days unchanged. Effects are relative to base, not compounded.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33" customHeight="1">
      <x:c r="A21" s="1"/>
      <x:c r="B21" s="1"/>
      <x:c r="C21" s="51" t="str">
        <x:v>Policy cash opex: 70% fixed and 30% volume-sensitive. All COGS scales with volume; manufacturing fixed costs are not separated.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33" customHeight="1">
      <x:c r="A22" s="1"/>
      <x:c r="B22" s="1"/>
      <x:c r="C22" s="51" t="str">
        <x:v>Costs: materials are assumed 50% of base COGS, material prices +20%, recovery of 40% of incremental costs through prices.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33" customHeight="1">
      <x:c r="A23" s="1"/>
      <x:c r="B23" s="1"/>
      <x:c r="C23" s="51" t="str">
        <x:v>Costs: same-quarter recovery and unchanged sales volume are simplifying assumptions, not evidence of customer acceptance.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33" customHeight="1">
      <x:c r="A24" s="1"/>
      <x:c r="B24" s="1"/>
      <x:c r="C24" s="51" t="str">
        <x:v>Costs: DIO +15 days assumes available precautionary stock. No production shortages, delayed pass-through or extra supplier credit.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33" customHeight="1">
      <x:c r="A25" s="1"/>
      <x:c r="B25" s="1"/>
      <x:c r="C25" s="51" t="str">
        <x:v>Cost recovery is a dollar amount: base COGS × material exposure × price shock × recovery share. It is not a 40% sales-price increase.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33" customHeight="1">
      <x:c r="A26" s="1"/>
      <x:c r="B26" s="1"/>
      <x:c r="C26" s="51" t="str">
        <x:v>Inventory uses higher scenario COGS and the extended days, capturing both cost inflation and additional stocking once.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33" customHeight="1">
      <x:c r="A27" s="1"/>
      <x:c r="B27" s="1"/>
      <x:c r="C27" s="51" t="str">
        <x:v>Debt, capex, depreciation and tax conventions are unchanged; no management savings or other mitigation are inserted.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33" customHeight="1">
      <x:c r="A28" s="1"/>
      <x:c r="B28" s="1"/>
      <x:c r="C28" s="51" t="str">
        <x:v>Cash coverage is quarter-end only; no minimum operating cash balance, covenant limits or intra-quarter needs are supplied.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33" customHeight="1">
      <x:c r="A29" s="1"/>
      <x:c r="B29" s="1"/>
      <x:c r="C29" s="51" t="str">
        <x:v>All comparisons are live; no frozen benchmark or capture refresh is required. Shared input changes update all cases.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33" customHeight="1">
      <x:c r="A30" s="1"/>
      <x:c r="B30" s="1"/>
      <x:c r="C30" s="51" t="str">
        <x:v>Dedicated live scenario tabs support the requested simultaneous comparison. All inputs and calculations remain inspectable.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33" customHeight="1">
      <x:c r="A31" s="1"/>
      <x:c r="B31" s="1"/>
      <x:c r="C31" s="51" t="str">
        <x:v>Checks never drive the model. Missing inputs are counted in Checks. Negative cash is exposed rather than funded by an unexplained plug.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33" customHeight="1">
      <x:c r="A32" s="1"/>
      <x:c r="B32" s="1"/>
      <x:c r="C32" s="51" t="str">
        <x:v>Validation: 660 numerical base forecast cells match the original. Policy and cost cases match independent Python quarter by quarter.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33" customHeight="1">
      <x:c r="A33" s="1"/>
      <x:c r="B33" s="1"/>
      <x:c r="C33" s="51" t="str">
        <x:v>Shared input and cost pass-through tests were executed and restored; source and historical values were preserved.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33" customHeight="1">
      <x:c r="A34" s="1"/>
      <x:c r="B34" s="1"/>
      <x:c r="C34" s="51" t="str">
        <x:v>Workbook calculation and rendering use the authoring engine. Native Excel application behaviour has not been tested.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21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 ht="21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 ht="33" customHeight="1">
      <x:c r="A37" s="1"/>
      <x:c r="B37" s="1"/>
      <x:c r="C37" s="51" t="str">
        <x:v>Demand: temporary competing-energy subsidies; volume -20%/-10%/0%, prices -3%/-1.5%/0% in 2024/2025/2026.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 ht="33" customHeight="1">
      <x:c r="A38" s="1"/>
      <x:c r="B38" s="1"/>
      <x:c r="C38" s="51" t="str">
        <x:v>Demand: additional receivable days 10/5/0, inventory days 25/12.5/0; payable days unchanged.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 ht="33" customHeight="1">
      <x:c r="A39" s="1"/>
      <x:c r="B39" s="1"/>
      <x:c r="C39" s="51" t="str">
        <x:v>Demand cash opex is 70% fixed and 30% volume-sensitive. Unit costs, capex and financing follow base.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33" customHeight="1">
      <x:c r="A40" s="1"/>
      <x:c r="B40" s="1"/>
      <x:c r="C40" s="51" t="str">
        <x:v>Recovery is assumed, not estimated from policy data. No permanent substitution, bad-debt expense or asset impairment is modelled.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33" customHeight="1">
      <x:c r="A41" s="1"/>
      <x:c r="B41" s="1"/>
      <x:c r="C41" s="51" t="str">
        <x:v>Demand operating conditions return to base in 2026, but cumulative earlier earnings losses leave cash below base.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 ht="33" customHeight="1">
      <x:c r="A42" s="1"/>
      <x:c r="B42" s="1"/>
      <x:c r="C42" s="51" t="str">
        <x:v>Summary has five native charts: cash, operating profit, operating margin, cash impact bridge and material cost recovery.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 ht="33" customHeight="1">
      <x:c r="A43" s="1"/>
      <x:c r="B43" s="1"/>
      <x:c r="C43" s="51" t="str">
        <x:v>The two waterfall-style bridges use stacked columns with white offset series; visible source tables reconcile the steps.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 ht="33" customHeight="1">
      <x:c r="A44" s="1"/>
      <x:c r="B44" s="1"/>
      <x:c r="C44" s="51" t="str">
        <x:v>Existing base, policy and cost results were preserved. Demand results were independently checked in Python.</x:v>
      </x:c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 ht="21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 ht="21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 ht="21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 ht="21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21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21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21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21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21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21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21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21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21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21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21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21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21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21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21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21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21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21" customHeight="1">
      <x:c r="A67" s="1"/>
      <x:c r="B67" s="1"/>
      <x:c r="C67" s="1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21" customHeight="1">
      <x:c r="A68" s="1"/>
      <x:c r="B68" s="1"/>
      <x:c r="C68" s="1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21" customHeight="1">
      <x:c r="A69" s="1"/>
      <x:c r="B69" s="1"/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A70" s="1"/>
      <x:c r="B70" s="1"/>
      <x:c r="C70" s="1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21" customHeight="1">
      <x:c r="A71" s="1"/>
      <x:c r="B71" s="1"/>
      <x:c r="C71" s="1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21" customHeight="1">
      <x:c r="A72" s="1"/>
      <x:c r="B72" s="1"/>
      <x:c r="C72" s="1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21" customHeight="1">
      <x:c r="A73" s="1"/>
      <x:c r="B73" s="1"/>
      <x:c r="C73" s="1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21" customHeight="1">
      <x:c r="A74" s="1"/>
      <x:c r="B74" s="1"/>
      <x:c r="C74" s="1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21" customHeight="1">
      <x:c r="A75" s="1"/>
      <x:c r="B75" s="1"/>
      <x:c r="C75" s="1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21" customHeight="1">
      <x:c r="A76" s="1"/>
      <x:c r="B76" s="1"/>
      <x:c r="C76" s="1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21" customHeight="1">
      <x:c r="A77" s="1"/>
      <x:c r="B77" s="1"/>
      <x:c r="C77" s="1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21" customHeight="1">
      <x:c r="A78" s="1"/>
      <x:c r="B78" s="1"/>
      <x:c r="C78" s="1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21" customHeight="1">
      <x:c r="A79" s="1"/>
      <x:c r="B79" s="1"/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A80" s="1"/>
      <x:c r="B80" s="1"/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A81" s="1"/>
      <x:c r="B81" s="1"/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A82" s="1"/>
      <x:c r="B82" s="1"/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A83" s="1"/>
      <x:c r="B83" s="1"/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A84" s="1"/>
      <x:c r="B84" s="1"/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A85" s="1"/>
      <x:c r="B85" s="1"/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A86" s="1"/>
      <x:c r="B86" s="1"/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A87" s="1"/>
      <x:c r="B87" s="1"/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A88" s="1"/>
      <x:c r="B88" s="1"/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A89" s="1"/>
      <x:c r="B89" s="1"/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A90" s="1"/>
      <x:c r="B90" s="1"/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A91" s="1"/>
      <x:c r="B91" s="1"/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A92" s="1"/>
      <x:c r="B92" s="1"/>
      <x:c r="C92" s="1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A93" s="1"/>
      <x:c r="B93" s="1"/>
      <x:c r="C93" s="1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A94" s="1"/>
      <x:c r="B94" s="1"/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A95" s="1"/>
      <x:c r="B95" s="1"/>
      <x:c r="C95" s="1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A96" s="1"/>
      <x:c r="B96" s="1"/>
      <x:c r="C96" s="1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A97" s="1"/>
      <x:c r="B97" s="1"/>
      <x:c r="C97" s="1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A98" s="1"/>
      <x:c r="B98" s="1"/>
      <x:c r="C98" s="1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A99" s="1"/>
      <x:c r="B99" s="1"/>
      <x:c r="C99" s="1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A100" s="1"/>
      <x:c r="B100" s="1"/>
      <x:c r="C100" s="1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A101" s="1"/>
      <x:c r="B101" s="1"/>
      <x:c r="C101" s="1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A102" s="1"/>
      <x:c r="B102" s="1"/>
      <x:c r="C102" s="1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A103" s="1"/>
      <x:c r="B103" s="1"/>
      <x:c r="C103" s="1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A104" s="1"/>
      <x:c r="B104" s="1"/>
      <x:c r="C104" s="1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A105" s="1"/>
      <x:c r="B105" s="1"/>
      <x:c r="C105" s="1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A106" s="1"/>
      <x:c r="B106" s="1"/>
      <x:c r="C106" s="1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A107" s="1"/>
      <x:c r="B107" s="1"/>
      <x:c r="C107" s="1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A108" s="1"/>
      <x:c r="B108" s="1"/>
      <x:c r="C108" s="1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A109" s="1"/>
      <x:c r="B109" s="1"/>
      <x:c r="C109" s="1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A110" s="1"/>
      <x:c r="B110" s="1"/>
      <x:c r="C110" s="1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 ht="21" customHeight="1">
      <x:c r="A111" s="1"/>
      <x:c r="B111" s="1"/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 ht="21" customHeight="1">
      <x:c r="A112" s="1"/>
      <x:c r="B112" s="1"/>
      <x:c r="C112" s="1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 ht="21" customHeight="1">
      <x:c r="A113" s="1"/>
      <x:c r="B113" s="1"/>
      <x:c r="C113" s="1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 ht="21" customHeight="1">
      <x:c r="A114" s="1"/>
      <x:c r="B114" s="1"/>
      <x:c r="C114" s="1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 ht="21" customHeight="1">
      <x:c r="A115" s="1"/>
      <x:c r="B115" s="1"/>
      <x:c r="C115" s="1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 ht="21" customHeight="1">
      <x:c r="A116" s="1"/>
      <x:c r="B116" s="1"/>
      <x:c r="C116" s="1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 ht="21" customHeight="1">
      <x:c r="A117" s="1"/>
      <x:c r="B117" s="1"/>
      <x:c r="C117" s="1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 ht="21" customHeight="1">
      <x:c r="A118" s="1"/>
      <x:c r="B118" s="1"/>
      <x:c r="C118" s="1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 ht="21" customHeight="1">
      <x:c r="A119" s="1"/>
      <x:c r="B119" s="1"/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 ht="21" customHeight="1">
      <x:c r="A120" s="1"/>
      <x:c r="B120" s="1"/>
      <x:c r="C120" s="1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 ht="21" customHeight="1">
      <x:c r="A121" s="1"/>
      <x:c r="B121" s="1"/>
      <x:c r="C121" s="1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 ht="21" customHeight="1">
      <x:c r="A122" s="1"/>
      <x:c r="B122" s="1"/>
      <x:c r="C122" s="1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 ht="21" customHeight="1">
      <x:c r="A123" s="1"/>
      <x:c r="B123" s="1"/>
      <x:c r="C123" s="1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 ht="21" customHeight="1">
      <x:c r="A124" s="1"/>
      <x:c r="B124" s="1"/>
      <x:c r="C124" s="1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 ht="21" customHeight="1">
      <x:c r="A125" s="1"/>
      <x:c r="B125" s="1"/>
      <x:c r="C125" s="1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 ht="21" customHeight="1">
      <x:c r="A126" s="1"/>
      <x:c r="B126" s="1"/>
      <x:c r="C126" s="1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 ht="21" customHeight="1">
      <x:c r="A127" s="1"/>
      <x:c r="B127" s="1"/>
      <x:c r="C127" s="1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 ht="21" customHeight="1">
      <x:c r="A128" s="1"/>
      <x:c r="B128" s="1"/>
      <x:c r="C128" s="1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 ht="21" customHeight="1">
      <x:c r="A129" s="1"/>
      <x:c r="B129" s="1"/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 ht="21" customHeight="1">
      <x:c r="A130" s="1"/>
      <x:c r="B130" s="1"/>
      <x:c r="C130" s="1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 ht="21" customHeight="1">
      <x:c r="A131" s="1"/>
      <x:c r="B131" s="1"/>
      <x:c r="C131" s="1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 ht="21" customHeight="1">
      <x:c r="A132" s="1"/>
      <x:c r="B132" s="1"/>
      <x:c r="C132" s="1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 ht="21" customHeight="1">
      <x:c r="A133" s="1"/>
      <x:c r="B133" s="1"/>
      <x:c r="C133" s="1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 ht="21" customHeight="1">
      <x:c r="A134" s="1"/>
      <x:c r="B134" s="1"/>
      <x:c r="C134" s="1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 ht="21" customHeight="1">
      <x:c r="A135" s="1"/>
      <x:c r="B135" s="1"/>
      <x:c r="C135" s="1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 ht="21" customHeight="1">
      <x:c r="A136" s="1"/>
      <x:c r="B136" s="1"/>
      <x:c r="C136" s="1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 ht="21" customHeight="1">
      <x:c r="A137" s="1"/>
      <x:c r="B137" s="1"/>
      <x:c r="C137" s="1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 ht="21" customHeight="1">
      <x:c r="A138" s="1"/>
      <x:c r="B138" s="1"/>
      <x:c r="C138" s="1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 ht="21" customHeight="1">
      <x:c r="A139" s="1"/>
      <x:c r="B139" s="1"/>
      <x:c r="C139" s="1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 ht="21" customHeight="1">
      <x:c r="A140" s="1"/>
      <x:c r="B140" s="1"/>
      <x:c r="C140" s="1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 ht="21" customHeight="1">
      <x:c r="A141" s="1"/>
      <x:c r="B141" s="1"/>
      <x:c r="C141" s="1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 ht="21" customHeight="1">
      <x:c r="A142" s="1"/>
      <x:c r="B142" s="1"/>
      <x:c r="C142" s="1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 ht="21" customHeight="1">
      <x:c r="A143" s="1"/>
      <x:c r="B143" s="1"/>
      <x:c r="C143" s="1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 ht="21" customHeight="1">
      <x:c r="A144" s="1"/>
      <x:c r="B144" s="1"/>
      <x:c r="C144" s="1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 ht="21" customHeight="1">
      <x:c r="A145" s="1"/>
      <x:c r="B145" s="1"/>
      <x:c r="C145" s="1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 ht="21" customHeight="1">
      <x:c r="A146" s="1"/>
      <x:c r="B146" s="1"/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 ht="21" customHeight="1">
      <x:c r="A147" s="1"/>
      <x:c r="B147" s="1"/>
      <x:c r="C147" s="1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 ht="21" customHeight="1">
      <x:c r="A148" s="1"/>
      <x:c r="B148" s="1"/>
      <x:c r="C148" s="1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 ht="21" customHeight="1">
      <x:c r="A149" s="1"/>
      <x:c r="B149" s="1"/>
      <x:c r="C149" s="1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 ht="21" customHeight="1">
      <x:c r="A150" s="1"/>
      <x:c r="B150" s="1"/>
      <x:c r="C150" s="1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 ht="21" customHeight="1">
      <x:c r="A151" s="1"/>
      <x:c r="B151" s="1"/>
      <x:c r="C151" s="1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 ht="21" customHeight="1">
      <x:c r="A152" s="1"/>
      <x:c r="B152" s="1"/>
      <x:c r="C152" s="1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 ht="21" customHeight="1">
      <x:c r="A153" s="1"/>
      <x:c r="B153" s="1"/>
      <x:c r="C153" s="1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 ht="21" customHeight="1">
      <x:c r="A154" s="1"/>
      <x:c r="B154" s="1"/>
      <x:c r="C154" s="1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 ht="21" customHeight="1">
      <x:c r="A155" s="1"/>
      <x:c r="B155" s="1"/>
      <x:c r="C155" s="1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87C6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21" customHeight="1">
      <x:c r="C1" s="1" t="str">
        <x:v>USD millions. Quarterly statements above; annual statements begin at row 92. Forecast origin: December 2023.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</x:row>
    <x:row r="2" ht="21" customHeight="1">
      <x:c r="C2" s="3" t="str">
        <x:v>AST scenario 3 temporary demand shift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1" customHeight="1">
      <x:c r="C3" s="1"/>
      <x:c r="D3" s="19" t="d">
        <x:v>2021-01-01T00:00:00.000Z</x:v>
      </x:c>
      <x:c r="E3" s="19" t="d">
        <x:v>2021-04-01T00:00:00.000Z</x:v>
      </x:c>
      <x:c r="F3" s="19" t="d">
        <x:v>2021-07-01T00:00:00.000Z</x:v>
      </x:c>
      <x:c r="G3" s="19" t="d">
        <x:v>2021-10-01T00:00:00.000Z</x:v>
      </x:c>
      <x:c r="H3" s="19" t="d">
        <x:v>2022-01-01T00:00:00.000Z</x:v>
      </x:c>
      <x:c r="I3" s="19" t="d">
        <x:v>2022-04-01T00:00:00.000Z</x:v>
      </x:c>
      <x:c r="J3" s="19" t="d">
        <x:v>2022-07-01T00:00:00.000Z</x:v>
      </x:c>
      <x:c r="K3" s="19" t="d">
        <x:v>2022-10-01T00:00:00.000Z</x:v>
      </x:c>
      <x:c r="L3" s="19" t="d">
        <x:v>2023-01-01T00:00:00.000Z</x:v>
      </x:c>
      <x:c r="M3" s="19" t="d">
        <x:v>2023-04-01T00:00:00.000Z</x:v>
      </x:c>
      <x:c r="N3" s="19" t="d">
        <x:v>2023-07-01T00:00:00.000Z</x:v>
      </x:c>
      <x:c r="O3" s="19" t="d">
        <x:v>2023-10-01T00:00:00.000Z</x:v>
      </x:c>
      <x:c r="P3" s="19" t="d">
        <x:v>2024-01-01T00:00:00.000Z</x:v>
      </x:c>
      <x:c r="Q3" s="19" t="d">
        <x:v>2024-04-01T00:00:00.000Z</x:v>
      </x:c>
      <x:c r="R3" s="19" t="d">
        <x:v>2024-07-01T00:00:00.000Z</x:v>
      </x:c>
      <x:c r="S3" s="19" t="d">
        <x:v>2024-10-01T00:00:00.000Z</x:v>
      </x:c>
      <x:c r="T3" s="19" t="d">
        <x:v>2025-01-01T00:00:00.000Z</x:v>
      </x:c>
      <x:c r="U3" s="19" t="d">
        <x:v>2025-04-01T00:00:00.000Z</x:v>
      </x:c>
      <x:c r="V3" s="19" t="d">
        <x:v>2025-07-01T00:00:00.000Z</x:v>
      </x:c>
      <x:c r="W3" s="19" t="d">
        <x:v>2025-10-01T00:00:00.000Z</x:v>
      </x:c>
      <x:c r="X3" s="19" t="d">
        <x:v>2026-01-01T00:00:00.000Z</x:v>
      </x:c>
      <x:c r="Y3" s="19" t="d">
        <x:v>2026-04-01T00:00:00.000Z</x:v>
      </x:c>
      <x:c r="Z3" s="19" t="d">
        <x:v>2026-07-01T00:00:00.000Z</x:v>
      </x:c>
      <x:c r="AA3" s="19" t="d">
        <x:v>2026-10-01T00:00:00.000Z</x:v>
      </x:c>
    </x:row>
    <x:row r="4" ht="21" customHeight="1">
      <x:c r="C4" s="1"/>
      <x:c r="D4" s="22" t="str">
        <x:v>Q1:21</x:v>
      </x:c>
      <x:c r="E4" s="22" t="str">
        <x:v>Q2:21</x:v>
      </x:c>
      <x:c r="F4" s="22" t="str">
        <x:v>Q3:21</x:v>
      </x:c>
      <x:c r="G4" s="22" t="str">
        <x:v>Q4:21</x:v>
      </x:c>
      <x:c r="H4" s="22" t="str">
        <x:v>Q1:22</x:v>
      </x:c>
      <x:c r="I4" s="22" t="str">
        <x:v>Q2:22</x:v>
      </x:c>
      <x:c r="J4" s="22" t="str">
        <x:v>Q3:22</x:v>
      </x:c>
      <x:c r="K4" s="22" t="str">
        <x:v>Q4:22</x:v>
      </x:c>
      <x:c r="L4" s="22" t="str">
        <x:v>Q1:23</x:v>
      </x:c>
      <x:c r="M4" s="22" t="str">
        <x:v>Q2:23</x:v>
      </x:c>
      <x:c r="N4" s="22" t="str">
        <x:v>Q3:23</x:v>
      </x:c>
      <x:c r="O4" s="22" t="str">
        <x:v>Q4:23</x:v>
      </x:c>
      <x:c r="P4" s="52" t="str">
        <x:v>Q1:24</x:v>
      </x:c>
      <x:c r="Q4" s="52" t="str">
        <x:v>Q2:24</x:v>
      </x:c>
      <x:c r="R4" s="52" t="str">
        <x:v>Q3:24</x:v>
      </x:c>
      <x:c r="S4" s="52" t="str">
        <x:v>Q4:24</x:v>
      </x:c>
      <x:c r="T4" s="52" t="str">
        <x:v>Q1:25</x:v>
      </x:c>
      <x:c r="U4" s="52" t="str">
        <x:v>Q2:25</x:v>
      </x:c>
      <x:c r="V4" s="52" t="str">
        <x:v>Q3:25</x:v>
      </x:c>
      <x:c r="W4" s="52" t="str">
        <x:v>Q4:25</x:v>
      </x:c>
      <x:c r="X4" s="52" t="str">
        <x:v>Q1:26</x:v>
      </x:c>
      <x:c r="Y4" s="52" t="str">
        <x:v>Q2:26</x:v>
      </x:c>
      <x:c r="Z4" s="52" t="str">
        <x:v>Q3:26</x:v>
      </x:c>
      <x:c r="AA4" s="52" t="str">
        <x:v>Q4:26</x:v>
      </x:c>
    </x:row>
    <x:row r="5" ht="21" customHeight="1">
      <x:c r="C5" s="1"/>
      <x:c r="D5" s="22" t="str">
        <x:v>Historical basis</x:v>
      </x:c>
      <x:c r="E5" s="22" t="str">
        <x:v>Historical basis</x:v>
      </x:c>
      <x:c r="F5" s="22" t="str">
        <x:v>Historical basis</x:v>
      </x:c>
      <x:c r="G5" s="22" t="str">
        <x:v>Historical basis</x:v>
      </x:c>
      <x:c r="H5" s="22" t="str">
        <x:v>Historical basis</x:v>
      </x:c>
      <x:c r="I5" s="22" t="str">
        <x:v>Historical basis</x:v>
      </x:c>
      <x:c r="J5" s="22" t="str">
        <x:v>Historical basis</x:v>
      </x:c>
      <x:c r="K5" s="22" t="str">
        <x:v>Historical basis</x:v>
      </x:c>
      <x:c r="L5" s="22" t="str">
        <x:v>Historical basis</x:v>
      </x:c>
      <x:c r="M5" s="22" t="str">
        <x:v>Historical basis</x:v>
      </x:c>
      <x:c r="N5" s="22" t="str">
        <x:v>Historical basis</x:v>
      </x:c>
      <x:c r="O5" s="22" t="str">
        <x:v>Historical basis</x:v>
      </x:c>
      <x:c r="P5" s="52" t="str">
        <x:v>Demand shift</x:v>
      </x:c>
      <x:c r="Q5" s="52" t="str">
        <x:v>Demand shift</x:v>
      </x:c>
      <x:c r="R5" s="52" t="str">
        <x:v>Demand shift</x:v>
      </x:c>
      <x:c r="S5" s="52" t="str">
        <x:v>Demand shift</x:v>
      </x:c>
      <x:c r="T5" s="52" t="str">
        <x:v>Demand shift</x:v>
      </x:c>
      <x:c r="U5" s="52" t="str">
        <x:v>Demand shift</x:v>
      </x:c>
      <x:c r="V5" s="52" t="str">
        <x:v>Demand shift</x:v>
      </x:c>
      <x:c r="W5" s="52" t="str">
        <x:v>Demand shift</x:v>
      </x:c>
      <x:c r="X5" s="52" t="str">
        <x:v>Demand shift</x:v>
      </x:c>
      <x:c r="Y5" s="52" t="str">
        <x:v>Demand shift</x:v>
      </x:c>
      <x:c r="Z5" s="52" t="str">
        <x:v>Demand shift</x:v>
      </x:c>
      <x:c r="AA5" s="52" t="str">
        <x:v>Demand shift</x:v>
      </x:c>
    </x:row>
    <x:row r="6" ht="21" customHeight="1">
      <x:c r="C6" s="1" t="str">
        <x:v>Days in quarter</x:v>
      </x:c>
      <x:c r="D6" s="1" t="n">
        <x:v>90</x:v>
      </x:c>
      <x:c r="E6" s="1" t="n">
        <x:v>91</x:v>
      </x:c>
      <x:c r="F6" s="1" t="n">
        <x:v>92</x:v>
      </x:c>
      <x:c r="G6" s="1" t="n">
        <x:v>92</x:v>
      </x:c>
      <x:c r="H6" s="1" t="n">
        <x:v>90</x:v>
      </x:c>
      <x:c r="I6" s="1" t="n">
        <x:v>91</x:v>
      </x:c>
      <x:c r="J6" s="1" t="n">
        <x:v>92</x:v>
      </x:c>
      <x:c r="K6" s="1" t="n">
        <x:v>92</x:v>
      </x:c>
      <x:c r="L6" s="1" t="n">
        <x:v>90</x:v>
      </x:c>
      <x:c r="M6" s="1" t="n">
        <x:v>91</x:v>
      </x:c>
      <x:c r="N6" s="1" t="n">
        <x:v>92</x:v>
      </x:c>
      <x:c r="O6" s="1" t="n">
        <x:v>92</x:v>
      </x:c>
      <x:c r="P6" s="1" t="n">
        <x:v>91</x:v>
      </x:c>
      <x:c r="Q6" s="1" t="n">
        <x:v>91</x:v>
      </x:c>
      <x:c r="R6" s="1" t="n">
        <x:v>92</x:v>
      </x:c>
      <x:c r="S6" s="1" t="n">
        <x:v>92</x:v>
      </x:c>
      <x:c r="T6" s="1" t="n">
        <x:v>90</x:v>
      </x:c>
      <x:c r="U6" s="1" t="n">
        <x:v>91</x:v>
      </x:c>
      <x:c r="V6" s="1" t="n">
        <x:v>92</x:v>
      </x:c>
      <x:c r="W6" s="1" t="n">
        <x:v>92</x:v>
      </x:c>
      <x:c r="X6" s="1" t="n">
        <x:v>90</x:v>
      </x:c>
      <x:c r="Y6" s="1" t="n">
        <x:v>91</x:v>
      </x:c>
      <x:c r="Z6" s="1" t="n">
        <x:v>92</x:v>
      </x:c>
      <x:c r="AA6" s="1" t="n">
        <x:v>92</x:v>
      </x:c>
    </x:row>
    <x:row r="7" ht="21" customHeight="1">
      <x:c r="C7" s="15" t="str">
        <x:v>Income statement</x:v>
      </x:c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s="16"/>
      <x:c r="Y7" s="16"/>
      <x:c r="Z7" s="16"/>
      <x:c r="AA7" s="16"/>
    </x:row>
    <x:row r="8" ht="21" customHeight="1">
      <x:c r="C8" s="1" t="str">
        <x:v>Annual baseline revenue before shock</x:v>
      </x:c>
      <x:c r="D8" s="20" t="n">
        <x:f>SUM(D10:G10)</x:f>
        <x:v>720.0000000000001</x:v>
      </x:c>
      <x:c r="E8" s="20" t="n">
        <x:f>SUM(D10:G10)</x:f>
        <x:v>720.0000000000001</x:v>
      </x:c>
      <x:c r="F8" s="20" t="n">
        <x:f>SUM(D10:G10)</x:f>
        <x:v>720.0000000000001</x:v>
      </x:c>
      <x:c r="G8" s="20" t="n">
        <x:f>SUM(D10:G10)</x:f>
        <x:v>720.0000000000001</x:v>
      </x:c>
      <x:c r="H8" s="20" t="n">
        <x:f>SUM(H10:K10)</x:f>
        <x:v>850</x:v>
      </x:c>
      <x:c r="I8" s="20" t="n">
        <x:f>SUM(H10:K10)</x:f>
        <x:v>850</x:v>
      </x:c>
      <x:c r="J8" s="20" t="n">
        <x:f>SUM(H10:K10)</x:f>
        <x:v>850</x:v>
      </x:c>
      <x:c r="K8" s="20" t="n">
        <x:f>SUM(H10:K10)</x:f>
        <x:v>850</x:v>
      </x:c>
      <x:c r="L8" s="20" t="n">
        <x:f>SUM(L10:O10)</x:f>
        <x:v>950</x:v>
      </x:c>
      <x:c r="M8" s="20" t="n">
        <x:f>SUM(L10:O10)</x:f>
        <x:v>950</x:v>
      </x:c>
      <x:c r="N8" s="20" t="n">
        <x:f>SUM(L10:O10)</x:f>
        <x:v>950</x:v>
      </x:c>
      <x:c r="O8" s="20" t="n">
        <x:f>SUM(L10:O10)</x:f>
        <x:v>950</x:v>
      </x:c>
      <x:c r="P8" s="8" t="n">
        <x:f>'Base Case'!P8</x:f>
        <x:v>1045</x:v>
      </x:c>
      <x:c r="Q8" s="8" t="n">
        <x:f>'Base Case'!Q8</x:f>
        <x:v>1045</x:v>
      </x:c>
      <x:c r="R8" s="8" t="n">
        <x:f>'Base Case'!R8</x:f>
        <x:v>1045</x:v>
      </x:c>
      <x:c r="S8" s="8" t="n">
        <x:f>'Base Case'!S8</x:f>
        <x:v>1045</x:v>
      </x:c>
      <x:c r="T8" s="8" t="n">
        <x:f>'Base Case'!T8</x:f>
        <x:v>1139.0500000000002</x:v>
      </x:c>
      <x:c r="U8" s="8" t="n">
        <x:f>'Base Case'!U8</x:f>
        <x:v>1139.0500000000002</x:v>
      </x:c>
      <x:c r="V8" s="8" t="n">
        <x:f>'Base Case'!V8</x:f>
        <x:v>1139.0500000000002</x:v>
      </x:c>
      <x:c r="W8" s="8" t="n">
        <x:f>'Base Case'!W8</x:f>
        <x:v>1139.0500000000002</x:v>
      </x:c>
      <x:c r="X8" s="8" t="n">
        <x:f>'Base Case'!X8</x:f>
        <x:v>1230.1740000000002</x:v>
      </x:c>
      <x:c r="Y8" s="8" t="n">
        <x:f>'Base Case'!Y8</x:f>
        <x:v>1230.1740000000002</x:v>
      </x:c>
      <x:c r="Z8" s="8" t="n">
        <x:f>'Base Case'!Z8</x:f>
        <x:v>1230.1740000000002</x:v>
      </x:c>
      <x:c r="AA8" s="8" t="n">
        <x:f>'Base Case'!AA8</x:f>
        <x:v>1230.1740000000002</x:v>
      </x:c>
    </x:row>
    <x:row r="9" ht="21" customHeight="1">
      <x:c r="C9" s="1" t="str">
        <x:v>Quarter share of annual revenue</x:v>
      </x:c>
      <x:c r="D9" s="32" t="n">
        <x:f>D10/D8</x:f>
        <x:v>0.24</x:v>
      </x:c>
      <x:c r="E9" s="32" t="n">
        <x:f>E10/E8</x:f>
        <x:v>0.21999999999999997</x:v>
      </x:c>
      <x:c r="F9" s="32" t="n">
        <x:f>F10/F8</x:f>
        <x:v>0.25999999999999995</x:v>
      </x:c>
      <x:c r="G9" s="32" t="n">
        <x:f>G10/G8</x:f>
        <x:v>0.27999999999999997</x:v>
      </x:c>
      <x:c r="H9" s="32" t="n">
        <x:f>H10/H8</x:f>
        <x:v>0.23</x:v>
      </x:c>
      <x:c r="I9" s="32" t="n">
        <x:f>I10/I8</x:f>
        <x:v>0.23</x:v>
      </x:c>
      <x:c r="J9" s="32" t="n">
        <x:f>J10/J8</x:f>
        <x:v>0.26</x:v>
      </x:c>
      <x:c r="K9" s="32" t="n">
        <x:f>K10/K8</x:f>
        <x:v>0.28</x:v>
      </x:c>
      <x:c r="L9" s="32" t="n">
        <x:f>L10/L8</x:f>
        <x:v>0.24</x:v>
      </x:c>
      <x:c r="M9" s="32" t="n">
        <x:f>M10/M8</x:f>
        <x:v>0.23</x:v>
      </x:c>
      <x:c r="N9" s="32" t="n">
        <x:f>N10/N8</x:f>
        <x:v>0.26</x:v>
      </x:c>
      <x:c r="O9" s="32" t="n">
        <x:f>O10/O8</x:f>
        <x:v>0.27</x:v>
      </x:c>
      <x:c r="P9" s="11" t="n">
        <x:f>'Base Case'!P9</x:f>
        <x:v>0.23666666666666666</x:v>
      </x:c>
      <x:c r="Q9" s="11" t="n">
        <x:f>'Base Case'!Q9</x:f>
        <x:v>0.22666666666666666</x:v>
      </x:c>
      <x:c r="R9" s="11" t="n">
        <x:f>'Base Case'!R9</x:f>
        <x:v>0.26</x:v>
      </x:c>
      <x:c r="S9" s="11" t="n">
        <x:f>'Base Case'!S9</x:f>
        <x:v>0.27666666666666667</x:v>
      </x:c>
      <x:c r="T9" s="11" t="n">
        <x:f>'Base Case'!T9</x:f>
        <x:v>0.23666666666666666</x:v>
      </x:c>
      <x:c r="U9" s="11" t="n">
        <x:f>'Base Case'!U9</x:f>
        <x:v>0.22666666666666666</x:v>
      </x:c>
      <x:c r="V9" s="11" t="n">
        <x:f>'Base Case'!V9</x:f>
        <x:v>0.26</x:v>
      </x:c>
      <x:c r="W9" s="11" t="n">
        <x:f>'Base Case'!W9</x:f>
        <x:v>0.27666666666666667</x:v>
      </x:c>
      <x:c r="X9" s="11" t="n">
        <x:f>'Base Case'!X9</x:f>
        <x:v>0.23666666666666666</x:v>
      </x:c>
      <x:c r="Y9" s="11" t="n">
        <x:f>'Base Case'!Y9</x:f>
        <x:v>0.22666666666666666</x:v>
      </x:c>
      <x:c r="Z9" s="11" t="n">
        <x:f>'Base Case'!Z9</x:f>
        <x:v>0.26</x:v>
      </x:c>
      <x:c r="AA9" s="11" t="n">
        <x:f>'Base Case'!AA9</x:f>
        <x:v>0.27666666666666667</x:v>
      </x:c>
    </x:row>
    <x:row r="10" ht="21" customHeight="1">
      <x:c r="C10" s="1" t="str">
        <x:v>Revenue</x:v>
      </x:c>
      <x:c r="D10" s="8" t="n">
        <x:f>Source!C4</x:f>
        <x:v>172.8</x:v>
      </x:c>
      <x:c r="E10" s="8" t="n">
        <x:f>Source!D4</x:f>
        <x:v>158.4</x:v>
      </x:c>
      <x:c r="F10" s="8" t="n">
        <x:f>Source!E4</x:f>
        <x:v>187.2</x:v>
      </x:c>
      <x:c r="G10" s="8" t="n">
        <x:f>Source!F4</x:f>
        <x:v>201.6</x:v>
      </x:c>
      <x:c r="H10" s="8" t="n">
        <x:f>Source!G4</x:f>
        <x:v>195.5</x:v>
      </x:c>
      <x:c r="I10" s="8" t="n">
        <x:f>Source!H4</x:f>
        <x:v>195.5</x:v>
      </x:c>
      <x:c r="J10" s="8" t="n">
        <x:f>Source!I4</x:f>
        <x:v>221</x:v>
      </x:c>
      <x:c r="K10" s="8" t="n">
        <x:f>Source!J4</x:f>
        <x:v>238</x:v>
      </x:c>
      <x:c r="L10" s="8" t="n">
        <x:f>Source!K4</x:f>
        <x:v>228</x:v>
      </x:c>
      <x:c r="M10" s="8" t="n">
        <x:f>Source!L4</x:f>
        <x:v>218.5</x:v>
      </x:c>
      <x:c r="N10" s="8" t="n">
        <x:f>Source!M4</x:f>
        <x:v>247</x:v>
      </x:c>
      <x:c r="O10" s="8" t="n">
        <x:f>Source!N4</x:f>
        <x:v>256.5</x:v>
      </x:c>
      <x:c r="P10" s="20" t="n">
        <x:f>P71*P74*P75</x:f>
        <x:v>191.91773333333336</x:v>
      </x:c>
      <x:c r="Q10" s="20" t="n">
        <x:f>Q71*Q74*Q75</x:f>
        <x:v>183.80853333333334</x:v>
      </x:c>
      <x:c r="R10" s="20" t="n">
        <x:f>R71*R74*R75</x:f>
        <x:v>210.8392</x:v>
      </x:c>
      <x:c r="S10" s="20" t="n">
        <x:f>S71*S74*S75</x:f>
        <x:v>224.35453333333334</x:v>
      </x:c>
      <x:c r="T10" s="20" t="n">
        <x:f>T71*T74*T75</x:f>
        <x:v>238.97838525000003</x:v>
      </x:c>
      <x:c r="U10" s="20" t="n">
        <x:f>U71*U74*U75</x:f>
        <x:v>228.88070700000006</x:v>
      </x:c>
      <x:c r="V10" s="20" t="n">
        <x:f>V71*V74*V75</x:f>
        <x:v>262.5396345000001</x:v>
      </x:c>
      <x:c r="W10" s="20" t="n">
        <x:f>W71*W74*W75</x:f>
        <x:v>279.36909825000004</x:v>
      </x:c>
      <x:c r="X10" s="20" t="n">
        <x:f>X71*X74*X75</x:f>
        <x:v>291.14118</x:v>
      </x:c>
      <x:c r="Y10" s="20" t="n">
        <x:f>Y71*Y74*Y75</x:f>
        <x:v>278.83944</x:v>
      </x:c>
      <x:c r="Z10" s="20" t="n">
        <x:f>Z71*Z74*Z75</x:f>
        <x:v>319.84524000000005</x:v>
      </x:c>
      <x:c r="AA10" s="20" t="n">
        <x:f>AA71*AA74*AA75</x:f>
        <x:v>340.34814000000006</x:v>
      </x:c>
    </x:row>
    <x:row r="11" ht="21" customHeight="1">
      <x:c r="C11" s="1" t="str">
        <x:v>Cost of goods sold</x:v>
      </x:c>
      <x:c r="D11" s="8" t="n">
        <x:f>Source!C5</x:f>
        <x:v>103.68</x:v>
      </x:c>
      <x:c r="E11" s="8" t="n">
        <x:f>Source!D5</x:f>
        <x:v>95.04</x:v>
      </x:c>
      <x:c r="F11" s="8" t="n">
        <x:f>Source!E5</x:f>
        <x:v>112.32</x:v>
      </x:c>
      <x:c r="G11" s="8" t="n">
        <x:f>Source!F5</x:f>
        <x:v>120.96</x:v>
      </x:c>
      <x:c r="H11" s="8" t="n">
        <x:f>Source!G5</x:f>
        <x:v>117.3</x:v>
      </x:c>
      <x:c r="I11" s="8" t="n">
        <x:f>Source!H5</x:f>
        <x:v>117.3</x:v>
      </x:c>
      <x:c r="J11" s="8" t="n">
        <x:f>Source!I5</x:f>
        <x:v>132.6</x:v>
      </x:c>
      <x:c r="K11" s="8" t="n">
        <x:f>Source!J5</x:f>
        <x:v>142.8</x:v>
      </x:c>
      <x:c r="L11" s="8" t="n">
        <x:f>Source!K5</x:f>
        <x:v>136.8</x:v>
      </x:c>
      <x:c r="M11" s="8" t="n">
        <x:f>Source!L5</x:f>
        <x:v>131.1</x:v>
      </x:c>
      <x:c r="N11" s="8" t="n">
        <x:f>Source!M5</x:f>
        <x:v>148.2</x:v>
      </x:c>
      <x:c r="O11" s="8" t="n">
        <x:f>Source!N5</x:f>
        <x:v>153.9</x:v>
      </x:c>
      <x:c r="P11" s="20" t="n">
        <x:f>P72*P74</x:f>
        <x:v>118.71199999999999</x:v>
      </x:c>
      <x:c r="Q11" s="20" t="n">
        <x:f>Q72*Q74</x:f>
        <x:v>113.69599999999998</x:v>
      </x:c>
      <x:c r="R11" s="20" t="n">
        <x:f>R72*R74</x:f>
        <x:v>130.416</x:v>
      </x:c>
      <x:c r="S11" s="20" t="n">
        <x:f>S72*S74</x:f>
        <x:v>138.776</x:v>
      </x:c>
      <x:c r="T11" s="20" t="n">
        <x:f>T72*T74</x:f>
        <x:v>145.57059</x:v>
      </x:c>
      <x:c r="U11" s="20" t="n">
        <x:f>U72*U74</x:f>
        <x:v>139.41972</x:v>
      </x:c>
      <x:c r="V11" s="20" t="n">
        <x:f>V72*V74</x:f>
        <x:v>159.92262000000002</x:v>
      </x:c>
      <x:c r="W11" s="20" t="n">
        <x:f>W72*W74</x:f>
        <x:v>170.17407</x:v>
      </x:c>
      <x:c r="X11" s="20" t="n">
        <x:f>X72*X74</x:f>
        <x:v>174.684708</x:v>
      </x:c>
      <x:c r="Y11" s="20" t="n">
        <x:f>Y72*Y74</x:f>
        <x:v>167.303664</x:v>
      </x:c>
      <x:c r="Z11" s="20" t="n">
        <x:f>Z72*Z74</x:f>
        <x:v>191.90714400000002</x:v>
      </x:c>
      <x:c r="AA11" s="20" t="n">
        <x:f>AA72*AA74</x:f>
        <x:v>204.20888400000004</x:v>
      </x:c>
    </x:row>
    <x:row r="12" ht="21" customHeight="1">
      <x:c r="C12" s="27" t="str">
        <x:v>Gross profit</x:v>
      </x:c>
      <x:c r="D12" s="28" t="n">
        <x:f>Source!C6</x:f>
        <x:v>69.12</x:v>
      </x:c>
      <x:c r="E12" s="28" t="n">
        <x:f>Source!D6</x:f>
        <x:v>63.36</x:v>
      </x:c>
      <x:c r="F12" s="28" t="n">
        <x:f>Source!E6</x:f>
        <x:v>74.88</x:v>
      </x:c>
      <x:c r="G12" s="28" t="n">
        <x:f>Source!F6</x:f>
        <x:v>80.64</x:v>
      </x:c>
      <x:c r="H12" s="28" t="n">
        <x:f>Source!G6</x:f>
        <x:v>78.2</x:v>
      </x:c>
      <x:c r="I12" s="28" t="n">
        <x:f>Source!H6</x:f>
        <x:v>78.2</x:v>
      </x:c>
      <x:c r="J12" s="28" t="n">
        <x:f>Source!I6</x:f>
        <x:v>88.4</x:v>
      </x:c>
      <x:c r="K12" s="28" t="n">
        <x:f>Source!J6</x:f>
        <x:v>95.2</x:v>
      </x:c>
      <x:c r="L12" s="28" t="n">
        <x:f>Source!K6</x:f>
        <x:v>91.2</x:v>
      </x:c>
      <x:c r="M12" s="28" t="n">
        <x:f>Source!L6</x:f>
        <x:v>87.4</x:v>
      </x:c>
      <x:c r="N12" s="28" t="n">
        <x:f>Source!M6</x:f>
        <x:v>98.8</x:v>
      </x:c>
      <x:c r="O12" s="28" t="n">
        <x:f>Source!N6</x:f>
        <x:v>102.6</x:v>
      </x:c>
      <x:c r="P12" s="29" t="n">
        <x:f>P10-P11</x:f>
        <x:v>73.20573333333337</x:v>
      </x:c>
      <x:c r="Q12" s="29" t="n">
        <x:f>Q10-Q11</x:f>
        <x:v>70.11253333333336</x:v>
      </x:c>
      <x:c r="R12" s="29" t="n">
        <x:f>R10-R11</x:f>
        <x:v>80.42320000000001</x:v>
      </x:c>
      <x:c r="S12" s="29" t="n">
        <x:f>S10-S11</x:f>
        <x:v>85.57853333333333</x:v>
      </x:c>
      <x:c r="T12" s="29" t="n">
        <x:f>T10-T11</x:f>
        <x:v>93.40779525000002</x:v>
      </x:c>
      <x:c r="U12" s="29" t="n">
        <x:f>U10-U11</x:f>
        <x:v>89.46098700000005</x:v>
      </x:c>
      <x:c r="V12" s="29" t="n">
        <x:f>V10-V11</x:f>
        <x:v>102.61701450000007</x:v>
      </x:c>
      <x:c r="W12" s="29" t="n">
        <x:f>W10-W11</x:f>
        <x:v>109.19502825000004</x:v>
      </x:c>
      <x:c r="X12" s="29" t="n">
        <x:f>X10-X11</x:f>
        <x:v>116.45647200000002</x:v>
      </x:c>
      <x:c r="Y12" s="29" t="n">
        <x:f>Y10-Y11</x:f>
        <x:v>111.53577600000003</x:v>
      </x:c>
      <x:c r="Z12" s="29" t="n">
        <x:f>Z10-Z11</x:f>
        <x:v>127.93809600000003</x:v>
      </x:c>
      <x:c r="AA12" s="29" t="n">
        <x:f>AA10-AA11</x:f>
        <x:v>136.13925600000002</x:v>
      </x:c>
    </x:row>
    <x:row r="13" ht="21" customHeight="1">
      <x:c r="C13" s="1" t="str">
        <x:v>Total operating expenses</x:v>
      </x:c>
      <x:c r="D13" s="8" t="n">
        <x:f>Source!C7</x:f>
        <x:v>36</x:v>
      </x:c>
      <x:c r="E13" s="8" t="n">
        <x:f>Source!D7</x:f>
        <x:v>33</x:v>
      </x:c>
      <x:c r="F13" s="8" t="n">
        <x:f>Source!E7</x:f>
        <x:v>39</x:v>
      </x:c>
      <x:c r="G13" s="8" t="n">
        <x:f>Source!F7</x:f>
        <x:v>42</x:v>
      </x:c>
      <x:c r="H13" s="8" t="n">
        <x:f>Source!G7</x:f>
        <x:v>41.4</x:v>
      </x:c>
      <x:c r="I13" s="8" t="n">
        <x:f>Source!H7</x:f>
        <x:v>41.4</x:v>
      </x:c>
      <x:c r="J13" s="8" t="n">
        <x:f>Source!I7</x:f>
        <x:v>46.8</x:v>
      </x:c>
      <x:c r="K13" s="8" t="n">
        <x:f>Source!J7</x:f>
        <x:v>50.4</x:v>
      </x:c>
      <x:c r="L13" s="8" t="n">
        <x:f>Source!K7</x:f>
        <x:v>48</x:v>
      </x:c>
      <x:c r="M13" s="8" t="n">
        <x:f>Source!L7</x:f>
        <x:v>46</x:v>
      </x:c>
      <x:c r="N13" s="8" t="n">
        <x:f>Source!M7</x:f>
        <x:v>52</x:v>
      </x:c>
      <x:c r="O13" s="8" t="n">
        <x:f>Source!N7</x:f>
        <x:v>54</x:v>
      </x:c>
      <x:c r="P13" s="20" t="n">
        <x:f>P14+P15</x:f>
        <x:v>49.86121541666666</x:v>
      </x:c>
      <x:c r="Q13" s="20" t="n">
        <x:f>Q14+Q15</x:f>
        <x:v>47.82952916666666</x:v>
      </x:c>
      <x:c r="R13" s="20" t="n">
        <x:f>R14+R15</x:f>
        <x:v>54.761005</x:v>
      </x:c>
      <x:c r="S13" s="20" t="n">
        <x:f>S14+S15</x:f>
        <x:v>58.24973291666666</x:v>
      </x:c>
      <x:c r="T13" s="20" t="n">
        <x:f>T14+T15</x:f>
        <x:v>55.58857073541667</x:v>
      </x:c>
      <x:c r="U13" s="20" t="n">
        <x:f>U14+U15</x:f>
        <x:v>53.282301729166676</x:v>
      </x:c>
      <x:c r="V13" s="20" t="n">
        <x:f>V14+V15</x:f>
        <x:v>61.05662272500001</x:v>
      </x:c>
      <x:c r="W13" s="20" t="n">
        <x:f>W14+W15</x:f>
        <x:v>64.95631277291668</x:v>
      </x:c>
      <x:c r="X13" s="20" t="n">
        <x:f>X14+X15</x:f>
        <x:v>61.29288000000001</x:v>
      </x:c>
      <x:c r="Y13" s="20" t="n">
        <x:f>Y14+Y15</x:f>
        <x:v>58.70304</x:v>
      </x:c>
      <x:c r="Z13" s="20" t="n">
        <x:f>Z14+Z15</x:f>
        <x:v>67.33584</x:v>
      </x:c>
      <x:c r="AA13" s="20" t="n">
        <x:f>AA14+AA15</x:f>
        <x:v>71.65224</x:v>
      </x:c>
    </x:row>
    <x:row r="14" ht="21" customHeight="1">
      <x:c r="C14" s="1" t="str">
        <x:v>Cash operating expenses</x:v>
      </x:c>
      <x:c r="D14" s="2" t="str">
        <x:v>n.a.</x:v>
      </x:c>
      <x:c r="E14" s="2" t="str">
        <x:v>n.a.</x:v>
      </x:c>
      <x:c r="F14" s="2" t="str">
        <x:v>n.a.</x:v>
      </x:c>
      <x:c r="G14" s="2" t="str">
        <x:v>n.a.</x:v>
      </x:c>
      <x:c r="H14" s="2" t="str">
        <x:v>n.a.</x:v>
      </x:c>
      <x:c r="I14" s="2" t="str">
        <x:v>n.a.</x:v>
      </x:c>
      <x:c r="J14" s="2" t="str">
        <x:v>n.a.</x:v>
      </x:c>
      <x:c r="K14" s="2" t="str">
        <x:v>n.a.</x:v>
      </x:c>
      <x:c r="L14" s="2" t="str">
        <x:v>n.a.</x:v>
      </x:c>
      <x:c r="M14" s="2" t="str">
        <x:v>n.a.</x:v>
      </x:c>
      <x:c r="N14" s="2" t="str">
        <x:v>n.a.</x:v>
      </x:c>
      <x:c r="O14" s="2" t="str">
        <x:v>n.a.</x:v>
      </x:c>
      <x:c r="P14" s="8" t="n">
        <x:f>P73*(Assumptions!D84+(1-Assumptions!D84)*P74)</x:f>
        <x:v>34.55206958333333</x:v>
      </x:c>
      <x:c r="Q14" s="8" t="n">
        <x:f>Q73*(Assumptions!D84+(1-Assumptions!D84)*Q74)</x:f>
        <x:v>31.91515416666666</x:v>
      </x:c>
      <x:c r="R14" s="8" t="n">
        <x:f>R73*(Assumptions!D84+(1-Assumptions!D84)*R74)</x:f>
        <x:v>38.210921666666664</x:v>
      </x:c>
      <x:c r="S14" s="8" t="n">
        <x:f>S73*(Assumptions!D84+(1-Assumptions!D84)*S74)</x:f>
        <x:v>40.998628749999995</x:v>
      </x:c>
      <x:c r="T14" s="8" t="n">
        <x:f>T73*(Assumptions!E84+(1-Assumptions!E84)*T74)</x:f>
        <x:v>37.63910177708333</x:v>
      </x:c>
      <x:c r="U14" s="8" t="n">
        <x:f>U73*(Assumptions!E84+(1-Assumptions!E84)*U74)</x:f>
        <x:v>34.67313297916668</x:v>
      </x:c>
      <x:c r="V14" s="8" t="n">
        <x:f>V73*(Assumptions!E84+(1-Assumptions!E84)*V74)</x:f>
        <x:v>41.75453189166667</x:v>
      </x:c>
      <x:c r="W14" s="8" t="n">
        <x:f>W73*(Assumptions!E84+(1-Assumptions!E84)*W74)</x:f>
        <x:v>44.89010923125</x:v>
      </x:c>
      <x:c r="X14" s="8" t="n">
        <x:f>X73*(Assumptions!F84+(1-Assumptions!F84)*X74)</x:f>
        <x:v>40.468828525000006</x:v>
      </x:c>
      <x:c r="Y14" s="8" t="n">
        <x:f>Y73*(Assumptions!F84+(1-Assumptions!F84)*Y74)</x:f>
        <x:v>37.166512749999995</x:v>
      </x:c>
      <x:c r="Z14" s="8" t="n">
        <x:f>Z73*(Assumptions!F84+(1-Assumptions!F84)*Z74)</x:f>
        <x:v>45.0509569</x:v>
      </x:c>
      <x:c r="AA14" s="8" t="n">
        <x:f>AA73*(Assumptions!F84+(1-Assumptions!F84)*AA74)</x:f>
        <x:v>48.542115175000006</x:v>
      </x:c>
    </x:row>
    <x:row r="15" ht="21" customHeight="1">
      <x:c r="C15" s="1" t="str">
        <x:v>Depreciation expense</x:v>
      </x:c>
      <x:c r="D15" s="2" t="str">
        <x:v>n.a.</x:v>
      </x:c>
      <x:c r="E15" s="2" t="str">
        <x:v>n.a.</x:v>
      </x:c>
      <x:c r="F15" s="2" t="str">
        <x:v>n.a.</x:v>
      </x:c>
      <x:c r="G15" s="2" t="str">
        <x:v>n.a.</x:v>
      </x:c>
      <x:c r="H15" s="2" t="str">
        <x:v>n.a.</x:v>
      </x:c>
      <x:c r="I15" s="2" t="str">
        <x:v>n.a.</x:v>
      </x:c>
      <x:c r="J15" s="2" t="str">
        <x:v>n.a.</x:v>
      </x:c>
      <x:c r="K15" s="2" t="str">
        <x:v>n.a.</x:v>
      </x:c>
      <x:c r="L15" s="2" t="str">
        <x:v>n.a.</x:v>
      </x:c>
      <x:c r="M15" s="2" t="str">
        <x:v>n.a.</x:v>
      </x:c>
      <x:c r="N15" s="2" t="str">
        <x:v>n.a.</x:v>
      </x:c>
      <x:c r="O15" s="2" t="str">
        <x:v>n.a.</x:v>
      </x:c>
      <x:c r="P15" s="8" t="n">
        <x:f>'Base Case'!P15</x:f>
        <x:v>15.309145833333334</x:v>
      </x:c>
      <x:c r="Q15" s="8" t="n">
        <x:f>'Base Case'!Q15</x:f>
        <x:v>15.914375</x:v>
      </x:c>
      <x:c r="R15" s="8" t="n">
        <x:f>'Base Case'!R15</x:f>
        <x:v>16.550083333333333</x:v>
      </x:c>
      <x:c r="S15" s="8" t="n">
        <x:f>'Base Case'!S15</x:f>
        <x:v>17.251104166666668</x:v>
      </x:c>
      <x:c r="T15" s="8" t="n">
        <x:f>'Base Case'!T15</x:f>
        <x:v>17.949468958333334</x:v>
      </x:c>
      <x:c r="U15" s="8" t="n">
        <x:f>'Base Case'!U15</x:f>
        <x:v>18.60916875</x:v>
      </x:c>
      <x:c r="V15" s="8" t="n">
        <x:f>'Base Case'!V15</x:f>
        <x:v>19.302090833333335</x:v>
      </x:c>
      <x:c r="W15" s="8" t="n">
        <x:f>'Base Case'!W15</x:f>
        <x:v>20.066203541666667</x:v>
      </x:c>
      <x:c r="X15" s="8" t="n">
        <x:f>'Base Case'!X15</x:f>
        <x:v>20.824051475</x:v>
      </x:c>
      <x:c r="Y15" s="8" t="n">
        <x:f>'Base Case'!Y15</x:f>
        <x:v>21.536527250000002</x:v>
      </x:c>
      <x:c r="Z15" s="8" t="n">
        <x:f>'Base Case'!Z15</x:f>
        <x:v>22.284883100000002</x:v>
      </x:c>
      <x:c r="AA15" s="8" t="n">
        <x:f>'Base Case'!AA15</x:f>
        <x:v>23.110124825</x:v>
      </x:c>
    </x:row>
    <x:row r="16" ht="21" customHeight="1">
      <x:c r="C16" s="27" t="str">
        <x:v>Operating income</x:v>
      </x:c>
      <x:c r="D16" s="28" t="n">
        <x:f>Source!C8</x:f>
        <x:v>33.12</x:v>
      </x:c>
      <x:c r="E16" s="28" t="n">
        <x:f>Source!D8</x:f>
        <x:v>30.36</x:v>
      </x:c>
      <x:c r="F16" s="28" t="n">
        <x:f>Source!E8</x:f>
        <x:v>35.88</x:v>
      </x:c>
      <x:c r="G16" s="28" t="n">
        <x:f>Source!F8</x:f>
        <x:v>38.64</x:v>
      </x:c>
      <x:c r="H16" s="28" t="n">
        <x:f>Source!G8</x:f>
        <x:v>36.8</x:v>
      </x:c>
      <x:c r="I16" s="28" t="n">
        <x:f>Source!H8</x:f>
        <x:v>36.8</x:v>
      </x:c>
      <x:c r="J16" s="28" t="n">
        <x:f>Source!I8</x:f>
        <x:v>41.6</x:v>
      </x:c>
      <x:c r="K16" s="28" t="n">
        <x:f>Source!J8</x:f>
        <x:v>44.8</x:v>
      </x:c>
      <x:c r="L16" s="28" t="n">
        <x:f>Source!K8</x:f>
        <x:v>43.2</x:v>
      </x:c>
      <x:c r="M16" s="28" t="n">
        <x:f>Source!L8</x:f>
        <x:v>41.4</x:v>
      </x:c>
      <x:c r="N16" s="28" t="n">
        <x:f>Source!M8</x:f>
        <x:v>46.8</x:v>
      </x:c>
      <x:c r="O16" s="28" t="n">
        <x:f>Source!N8</x:f>
        <x:v>48.6</x:v>
      </x:c>
      <x:c r="P16" s="29" t="n">
        <x:f>P12-P13</x:f>
        <x:v>23.34451791666671</x:v>
      </x:c>
      <x:c r="Q16" s="29" t="n">
        <x:f>Q12-Q13</x:f>
        <x:v>22.2830041666667</x:v>
      </x:c>
      <x:c r="R16" s="29" t="n">
        <x:f>R12-R13</x:f>
        <x:v>25.66219500000001</x:v>
      </x:c>
      <x:c r="S16" s="29" t="n">
        <x:f>S12-S13</x:f>
        <x:v>27.328800416666667</x:v>
      </x:c>
      <x:c r="T16" s="29" t="n">
        <x:f>T12-T13</x:f>
        <x:v>37.819224514583354</x:v>
      </x:c>
      <x:c r="U16" s="29" t="n">
        <x:f>U12-U13</x:f>
        <x:v>36.17868527083337</x:v>
      </x:c>
      <x:c r="V16" s="29" t="n">
        <x:f>V12-V13</x:f>
        <x:v>41.560391775000056</x:v>
      </x:c>
      <x:c r="W16" s="29" t="n">
        <x:f>W12-W13</x:f>
        <x:v>44.23871547708336</x:v>
      </x:c>
      <x:c r="X16" s="29" t="n">
        <x:f>X12-X13</x:f>
        <x:v>55.16359200000001</x:v>
      </x:c>
      <x:c r="Y16" s="29" t="n">
        <x:f>Y12-Y13</x:f>
        <x:v>52.832736000000025</x:v>
      </x:c>
      <x:c r="Z16" s="29" t="n">
        <x:f>Z12-Z13</x:f>
        <x:v>60.602256000000025</x:v>
      </x:c>
      <x:c r="AA16" s="29" t="n">
        <x:f>AA12-AA13</x:f>
        <x:v>64.48701600000001</x:v>
      </x:c>
    </x:row>
    <x:row r="17" ht="21" customHeight="1">
      <x:c r="C17" s="1" t="str">
        <x:v>Interest expense</x:v>
      </x:c>
      <x:c r="D17" s="8" t="n">
        <x:f>Source!C9</x:f>
        <x:v>6</x:v>
      </x:c>
      <x:c r="E17" s="8" t="n">
        <x:f>Source!D9</x:f>
        <x:v>5.5</x:v>
      </x:c>
      <x:c r="F17" s="8" t="n">
        <x:f>Source!E9</x:f>
        <x:v>6.5</x:v>
      </x:c>
      <x:c r="G17" s="8" t="n">
        <x:f>Source!F9</x:f>
        <x:v>7</x:v>
      </x:c>
      <x:c r="H17" s="8" t="n">
        <x:f>Source!G9</x:f>
        <x:v>5.06</x:v>
      </x:c>
      <x:c r="I17" s="8" t="n">
        <x:f>Source!H9</x:f>
        <x:v>5.06</x:v>
      </x:c>
      <x:c r="J17" s="8" t="n">
        <x:f>Source!I9</x:f>
        <x:v>5.72</x:v>
      </x:c>
      <x:c r="K17" s="8" t="n">
        <x:f>Source!J9</x:f>
        <x:v>6.16</x:v>
      </x:c>
      <x:c r="L17" s="8" t="n">
        <x:f>Source!K9</x:f>
        <x:v>4.8</x:v>
      </x:c>
      <x:c r="M17" s="8" t="n">
        <x:f>Source!L9</x:f>
        <x:v>4.6</x:v>
      </x:c>
      <x:c r="N17" s="8" t="n">
        <x:f>Source!M9</x:f>
        <x:v>5.2</x:v>
      </x:c>
      <x:c r="O17" s="8" t="n">
        <x:f>Source!N9</x:f>
        <x:v>5.4</x:v>
      </x:c>
      <x:c r="P17" s="20" t="n">
        <x:f>P67*P68/4</x:f>
        <x:v>4.841549295774648</x:v>
      </x:c>
      <x:c r="Q17" s="20" t="n">
        <x:f>Q67*Q68/4</x:f>
        <x:v>4.665492957746479</x:v>
      </x:c>
      <x:c r="R17" s="20" t="n">
        <x:f>R67*R68/4</x:f>
        <x:v>4.48943661971831</x:v>
      </x:c>
      <x:c r="S17" s="20" t="n">
        <x:f>S67*S68/4</x:f>
        <x:v>4.313380281690141</x:v>
      </x:c>
      <x:c r="T17" s="20" t="n">
        <x:f>T67*T68/4</x:f>
        <x:v>4.137323943661972</x:v>
      </x:c>
      <x:c r="U17" s="20" t="n">
        <x:f>U67*U68/4</x:f>
        <x:v>3.961267605633803</x:v>
      </x:c>
      <x:c r="V17" s="20" t="n">
        <x:f>V67*V68/4</x:f>
        <x:v>3.785211267605634</x:v>
      </x:c>
      <x:c r="W17" s="20" t="n">
        <x:f>W67*W68/4</x:f>
        <x:v>3.609154929577465</x:v>
      </x:c>
      <x:c r="X17" s="20" t="n">
        <x:f>X67*X68/4</x:f>
        <x:v>3.433098591549296</x:v>
      </x:c>
      <x:c r="Y17" s="20" t="n">
        <x:f>Y67*Y68/4</x:f>
        <x:v>3.257042253521127</x:v>
      </x:c>
      <x:c r="Z17" s="20" t="n">
        <x:f>Z67*Z68/4</x:f>
        <x:v>3.080985915492958</x:v>
      </x:c>
      <x:c r="AA17" s="20" t="n">
        <x:f>AA67*AA68/4</x:f>
        <x:v>2.904929577464789</x:v>
      </x:c>
    </x:row>
    <x:row r="18" ht="21" customHeight="1">
      <x:c r="C18" s="1" t="str">
        <x:v>Earnings before tax</x:v>
      </x:c>
      <x:c r="D18" s="8" t="n">
        <x:f>Source!C10</x:f>
        <x:v>27.12</x:v>
      </x:c>
      <x:c r="E18" s="8" t="n">
        <x:f>Source!D10</x:f>
        <x:v>24.86</x:v>
      </x:c>
      <x:c r="F18" s="8" t="n">
        <x:f>Source!E10</x:f>
        <x:v>29.38</x:v>
      </x:c>
      <x:c r="G18" s="8" t="n">
        <x:f>Source!F10</x:f>
        <x:v>31.64</x:v>
      </x:c>
      <x:c r="H18" s="8" t="n">
        <x:f>Source!G10</x:f>
        <x:v>31.74</x:v>
      </x:c>
      <x:c r="I18" s="8" t="n">
        <x:f>Source!H10</x:f>
        <x:v>31.74</x:v>
      </x:c>
      <x:c r="J18" s="8" t="n">
        <x:f>Source!I10</x:f>
        <x:v>35.88</x:v>
      </x:c>
      <x:c r="K18" s="8" t="n">
        <x:f>Source!J10</x:f>
        <x:v>38.64</x:v>
      </x:c>
      <x:c r="L18" s="8" t="n">
        <x:f>Source!K10</x:f>
        <x:v>38.4</x:v>
      </x:c>
      <x:c r="M18" s="8" t="n">
        <x:f>Source!L10</x:f>
        <x:v>36.8</x:v>
      </x:c>
      <x:c r="N18" s="8" t="n">
        <x:f>Source!M10</x:f>
        <x:v>41.6</x:v>
      </x:c>
      <x:c r="O18" s="8" t="n">
        <x:f>Source!N10</x:f>
        <x:v>43.2</x:v>
      </x:c>
      <x:c r="P18" s="20" t="n">
        <x:f>P16-P17</x:f>
        <x:v>18.502968620892062</x:v>
      </x:c>
      <x:c r="Q18" s="20" t="n">
        <x:f>Q16-Q17</x:f>
        <x:v>17.61751120892022</x:v>
      </x:c>
      <x:c r="R18" s="20" t="n">
        <x:f>R16-R17</x:f>
        <x:v>21.1727583802817</x:v>
      </x:c>
      <x:c r="S18" s="20" t="n">
        <x:f>S16-S17</x:f>
        <x:v>23.015420134976527</x:v>
      </x:c>
      <x:c r="T18" s="20" t="n">
        <x:f>T16-T17</x:f>
        <x:v>33.681900570921385</x:v>
      </x:c>
      <x:c r="U18" s="20" t="n">
        <x:f>U16-U17</x:f>
        <x:v>32.21741766519957</x:v>
      </x:c>
      <x:c r="V18" s="20" t="n">
        <x:f>V16-V17</x:f>
        <x:v>37.775180507394424</x:v>
      </x:c>
      <x:c r="W18" s="20" t="n">
        <x:f>W16-W17</x:f>
        <x:v>40.629560547505896</x:v>
      </x:c>
      <x:c r="X18" s="20" t="n">
        <x:f>X16-X17</x:f>
        <x:v>51.73049340845071</x:v>
      </x:c>
      <x:c r="Y18" s="20" t="n">
        <x:f>Y16-Y17</x:f>
        <x:v>49.5756937464789</x:v>
      </x:c>
      <x:c r="Z18" s="20" t="n">
        <x:f>Z16-Z17</x:f>
        <x:v>57.521270084507066</x:v>
      </x:c>
      <x:c r="AA18" s="20" t="n">
        <x:f>AA16-AA17</x:f>
        <x:v>61.58208642253522</x:v>
      </x:c>
    </x:row>
    <x:row r="19" ht="21" customHeight="1">
      <x:c r="C19" s="1" t="str">
        <x:v>Tax expense</x:v>
      </x:c>
      <x:c r="D19" s="8" t="n">
        <x:f>Source!C11</x:f>
        <x:v>6.72</x:v>
      </x:c>
      <x:c r="E19" s="8" t="n">
        <x:f>Source!D11</x:f>
        <x:v>6.16</x:v>
      </x:c>
      <x:c r="F19" s="8" t="n">
        <x:f>Source!E11</x:f>
        <x:v>7.28</x:v>
      </x:c>
      <x:c r="G19" s="8" t="n">
        <x:f>Source!F11</x:f>
        <x:v>7.84</x:v>
      </x:c>
      <x:c r="H19" s="8" t="n">
        <x:f>Source!G11</x:f>
        <x:v>7.82</x:v>
      </x:c>
      <x:c r="I19" s="8" t="n">
        <x:f>Source!H11</x:f>
        <x:v>7.82</x:v>
      </x:c>
      <x:c r="J19" s="8" t="n">
        <x:f>Source!I11</x:f>
        <x:v>8.84</x:v>
      </x:c>
      <x:c r="K19" s="8" t="n">
        <x:f>Source!J11</x:f>
        <x:v>9.52</x:v>
      </x:c>
      <x:c r="L19" s="8" t="n">
        <x:f>Source!K11</x:f>
        <x:v>9.6</x:v>
      </x:c>
      <x:c r="M19" s="8" t="n">
        <x:f>Source!L11</x:f>
        <x:v>9.2</x:v>
      </x:c>
      <x:c r="N19" s="8" t="n">
        <x:f>Source!M11</x:f>
        <x:v>10.4</x:v>
      </x:c>
      <x:c r="O19" s="8" t="n">
        <x:f>Source!N11</x:f>
        <x:v>10.8</x:v>
      </x:c>
      <x:c r="P19" s="8" t="n">
        <x:f>MAX(P18,0)*Assumptions!D10</x:f>
        <x:v>4.625742155223016</x:v>
      </x:c>
      <x:c r="Q19" s="8" t="n">
        <x:f>MAX(Q18,0)*Assumptions!D10</x:f>
        <x:v>4.404377802230055</x:v>
      </x:c>
      <x:c r="R19" s="8" t="n">
        <x:f>MAX(R18,0)*Assumptions!D10</x:f>
        <x:v>5.293189595070425</x:v>
      </x:c>
      <x:c r="S19" s="8" t="n">
        <x:f>MAX(S18,0)*Assumptions!D10</x:f>
        <x:v>5.753855033744132</x:v>
      </x:c>
      <x:c r="T19" s="8" t="n">
        <x:f>MAX(T18,0)*Assumptions!E10</x:f>
        <x:v>8.420475142730346</x:v>
      </x:c>
      <x:c r="U19" s="8" t="n">
        <x:f>MAX(U18,0)*Assumptions!E10</x:f>
        <x:v>8.054354416299892</x:v>
      </x:c>
      <x:c r="V19" s="8" t="n">
        <x:f>MAX(V18,0)*Assumptions!E10</x:f>
        <x:v>9.443795126848606</x:v>
      </x:c>
      <x:c r="W19" s="8" t="n">
        <x:f>MAX(W18,0)*Assumptions!E10</x:f>
        <x:v>10.157390136876474</x:v>
      </x:c>
      <x:c r="X19" s="8" t="n">
        <x:f>MAX(X18,0)*Assumptions!F10</x:f>
        <x:v>12.932623352112678</x:v>
      </x:c>
      <x:c r="Y19" s="8" t="n">
        <x:f>MAX(Y18,0)*Assumptions!F10</x:f>
        <x:v>12.393923436619724</x:v>
      </x:c>
      <x:c r="Z19" s="8" t="n">
        <x:f>MAX(Z18,0)*Assumptions!F10</x:f>
        <x:v>14.380317521126766</x:v>
      </x:c>
      <x:c r="AA19" s="8" t="n">
        <x:f>MAX(AA18,0)*Assumptions!F10</x:f>
        <x:v>15.395521605633805</x:v>
      </x:c>
    </x:row>
    <x:row r="20" ht="21" customHeight="1">
      <x:c r="C20" s="27" t="str">
        <x:v>Net income</x:v>
      </x:c>
      <x:c r="D20" s="28" t="n">
        <x:f>Source!C12</x:f>
        <x:v>20.4</x:v>
      </x:c>
      <x:c r="E20" s="28" t="n">
        <x:f>Source!D12</x:f>
        <x:v>18.7</x:v>
      </x:c>
      <x:c r="F20" s="28" t="n">
        <x:f>Source!E12</x:f>
        <x:v>22.1</x:v>
      </x:c>
      <x:c r="G20" s="28" t="n">
        <x:f>Source!F12</x:f>
        <x:v>23.8</x:v>
      </x:c>
      <x:c r="H20" s="28" t="n">
        <x:f>Source!G12</x:f>
        <x:v>23.92</x:v>
      </x:c>
      <x:c r="I20" s="28" t="n">
        <x:f>Source!H12</x:f>
        <x:v>23.92</x:v>
      </x:c>
      <x:c r="J20" s="28" t="n">
        <x:f>Source!I12</x:f>
        <x:v>27.04</x:v>
      </x:c>
      <x:c r="K20" s="28" t="n">
        <x:f>Source!J12</x:f>
        <x:v>29.12</x:v>
      </x:c>
      <x:c r="L20" s="28" t="n">
        <x:f>Source!K12</x:f>
        <x:v>28.8</x:v>
      </x:c>
      <x:c r="M20" s="28" t="n">
        <x:f>Source!L12</x:f>
        <x:v>27.6</x:v>
      </x:c>
      <x:c r="N20" s="28" t="n">
        <x:f>Source!M12</x:f>
        <x:v>31.2</x:v>
      </x:c>
      <x:c r="O20" s="28" t="n">
        <x:f>Source!N12</x:f>
        <x:v>32.4</x:v>
      </x:c>
      <x:c r="P20" s="29" t="n">
        <x:f>P18-P19</x:f>
        <x:v>13.877226465669047</x:v>
      </x:c>
      <x:c r="Q20" s="29" t="n">
        <x:f>Q18-Q19</x:f>
        <x:v>13.213133406690165</x:v>
      </x:c>
      <x:c r="R20" s="29" t="n">
        <x:f>R18-R19</x:f>
        <x:v>15.879568785211275</x:v>
      </x:c>
      <x:c r="S20" s="29" t="n">
        <x:f>S18-S19</x:f>
        <x:v>17.261565101232396</x:v>
      </x:c>
      <x:c r="T20" s="29" t="n">
        <x:f>T18-T19</x:f>
        <x:v>25.26142542819104</x:v>
      </x:c>
      <x:c r="U20" s="29" t="n">
        <x:f>U18-U19</x:f>
        <x:v>24.163063248899675</x:v>
      </x:c>
      <x:c r="V20" s="29" t="n">
        <x:f>V18-V19</x:f>
        <x:v>28.331385380545818</x:v>
      </x:c>
      <x:c r="W20" s="29" t="n">
        <x:f>W18-W19</x:f>
        <x:v>30.472170410629424</x:v>
      </x:c>
      <x:c r="X20" s="29" t="n">
        <x:f>X18-X19</x:f>
        <x:v>38.797870056338034</x:v>
      </x:c>
      <x:c r="Y20" s="29" t="n">
        <x:f>Y18-Y19</x:f>
        <x:v>37.181770309859175</x:v>
      </x:c>
      <x:c r="Z20" s="29" t="n">
        <x:f>Z18-Z19</x:f>
        <x:v>43.140952563380296</x:v>
      </x:c>
      <x:c r="AA20" s="29" t="n">
        <x:f>AA18-AA19</x:f>
        <x:v>46.18656481690142</x:v>
      </x:c>
    </x:row>
    <x:row r="21" ht="21" customHeight="1"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21" customHeight="1">
      <x:c r="C22" s="15" t="str">
        <x:v>Balance sheet</x:v>
      </x:c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  <x:c r="Z22" s="16"/>
      <x:c r="AA22" s="16"/>
    </x:row>
    <x:row r="23" ht="21" customHeight="1">
      <x:c r="C23" s="1" t="str">
        <x:v>Cash</x:v>
      </x:c>
      <x:c r="D23" s="8" t="n">
        <x:f>Source!C13</x:f>
        <x:v>51</x:v>
      </x:c>
      <x:c r="E23" s="8" t="n">
        <x:f>Source!D13</x:f>
        <x:v>54.825</x:v>
      </x:c>
      <x:c r="F23" s="8" t="n">
        <x:f>Source!E13</x:f>
        <x:v>56.21875</x:v>
      </x:c>
      <x:c r="G23" s="8" t="n">
        <x:f>Source!F13</x:f>
        <x:v>59.8</x:v>
      </x:c>
      <x:c r="H23" s="8" t="n">
        <x:f>Source!G13</x:f>
        <x:v>68.02</x:v>
      </x:c>
      <x:c r="I23" s="8" t="n">
        <x:f>Source!H13</x:f>
        <x:v>97.115</x:v>
      </x:c>
      <x:c r="J23" s="8" t="n">
        <x:f>Source!I13</x:f>
        <x:v>99.33625</x:v>
      </x:c>
      <x:c r="K23" s="8" t="n">
        <x:f>Source!J13</x:f>
        <x:v>130.8</x:v>
      </x:c>
      <x:c r="L23" s="8" t="n">
        <x:f>Source!K13</x:f>
        <x:v>134.4</x:v>
      </x:c>
      <x:c r="M23" s="8" t="n">
        <x:f>Source!L13</x:f>
        <x:v>170.85</x:v>
      </x:c>
      <x:c r="N23" s="8" t="n">
        <x:f>Source!M13</x:f>
        <x:v>173.4375</x:v>
      </x:c>
      <x:c r="O23" s="8" t="n">
        <x:f>Source!N13</x:f>
        <x:v>210.8</x:v>
      </x:c>
      <x:c r="P23" s="20" t="n">
        <x:f>P55</x:f>
        <x:v>231.9318558154859</x:v>
      </x:c>
      <x:c r="Q23" s="20" t="n">
        <x:f>Q55</x:f>
        <x:v>202.5425237698748</x:v>
      </x:c>
      <x:c r="R23" s="20" t="n">
        <x:f>R55</x:f>
        <x:v>174.74876470829514</x:v>
      </x:c>
      <x:c r="S23" s="20" t="n">
        <x:f>S55</x:f>
        <x:v>146.11921712165852</x:v>
      </x:c>
      <x:c r="T23" s="20" t="n">
        <x:f>T55</x:f>
        <x:v>197.3935279786606</x:v>
      </x:c>
      <x:c r="U23" s="20" t="n">
        <x:f>U55</x:f>
        <x:v>175.2884160739928</x:v>
      </x:c>
      <x:c r="V23" s="20" t="n">
        <x:f>V55</x:f>
        <x:v>159.6924323635408</x:v>
      </x:c>
      <x:c r="W23" s="20" t="n">
        <x:f>W55</x:f>
        <x:v>141.66830135357847</x:v>
      </x:c>
      <x:c r="X23" s="20" t="n">
        <x:f>X55</x:f>
        <x:v>226.0949701750735</x:v>
      </x:c>
      <x:c r="Y23" s="20" t="n">
        <x:f>Y55</x:f>
        <x:v>210.2378056479762</x:v>
      </x:c>
      <x:c r="Z23" s="20" t="n">
        <x:f>Z55</x:f>
        <x:v>210.81133939831295</x:v>
      </x:c>
      <x:c r="AA23" s="20" t="n">
        <x:f>AA55</x:f>
        <x:v>206.66605637354775</x:v>
      </x:c>
    </x:row>
    <x:row r="24" ht="21" customHeight="1">
      <x:c r="C24" s="1" t="str">
        <x:v>Accounts receivable</x:v>
      </x:c>
      <x:c r="D24" s="8" t="n">
        <x:f>Source!C14</x:f>
        <x:v>93.5</x:v>
      </x:c>
      <x:c r="E24" s="8" t="n">
        <x:f>Source!D14</x:f>
        <x:v>100.1</x:v>
      </x:c>
      <x:c r="F24" s="8" t="n">
        <x:f>Source!E14</x:f>
        <x:v>103.4</x:v>
      </x:c>
      <x:c r="G24" s="8" t="n">
        <x:f>Source!F14</x:f>
        <x:v>110</x:v>
      </x:c>
      <x:c r="H24" s="8" t="n">
        <x:f>Source!G14</x:f>
        <x:v>111.8</x:v>
      </x:c>
      <x:c r="I24" s="8" t="n">
        <x:f>Source!H14</x:f>
        <x:v>119.6</x:v>
      </x:c>
      <x:c r="J24" s="8" t="n">
        <x:f>Source!I14</x:f>
        <x:v>123.5</x:v>
      </x:c>
      <x:c r="K24" s="8" t="n">
        <x:f>Source!J14</x:f>
        <x:v>130</x:v>
      </x:c>
      <x:c r="L24" s="8" t="n">
        <x:f>Source!K14</x:f>
        <x:v>126</x:v>
      </x:c>
      <x:c r="M24" s="8" t="n">
        <x:f>Source!L14</x:f>
        <x:v>136.5</x:v>
      </x:c>
      <x:c r="N24" s="8" t="n">
        <x:f>Source!M14</x:f>
        <x:v>142.5</x:v>
      </x:c>
      <x:c r="O24" s="8" t="n">
        <x:f>Source!N14</x:f>
        <x:v>150</x:v>
      </x:c>
      <x:c r="P24" s="20" t="n">
        <x:f>P10/P6*P76</x:f>
        <x:v>125.98416849816851</x:v>
      </x:c>
      <x:c r="Q24" s="20" t="n">
        <x:f>Q10/Q6*Q76</x:f>
        <x:v>135.02649644847907</x:v>
      </x:c>
      <x:c r="R24" s="20" t="n">
        <x:f>R10/R6*R76</x:f>
        <x:v>144.55530434782608</x:v>
      </x:c>
      <x:c r="S24" s="20" t="n">
        <x:f>S10/S6*S76</x:f>
        <x:v>155.58784380032205</x:v>
      </x:c>
      <x:c r="T24" s="20" t="n">
        <x:f>T10/T6*T76</x:f>
        <x:v>145.34357933333337</x:v>
      </x:c>
      <x:c r="U24" s="20" t="n">
        <x:f>U10/U6*U76</x:f>
        <x:v>155.56083558719544</x:v>
      </x:c>
      <x:c r="V24" s="20" t="n">
        <x:f>V10/V6*V76</x:f>
        <x:v>165.73363214673915</x:v>
      </x:c>
      <x:c r="W24" s="20" t="n">
        <x:f>W10/W6*W76</x:f>
        <x:v>178.55684483242754</x:v>
      </x:c>
      <x:c r="X24" s="20" t="n">
        <x:f>X10/X6*X76</x:f>
        <x:v>160.89381000000003</x:v>
      </x:c>
      <x:c r="Y24" s="20" t="n">
        <x:f>Y10/Y6*Y76</x:f>
        <x:v>174.19489043478262</x:v>
      </x:c>
      <x:c r="Z24" s="20" t="n">
        <x:f>Z10/Z6*Z76</x:f>
        <x:v>184.5261</x:v>
      </x:c>
      <x:c r="AA24" s="20" t="n">
        <x:f>AA10/AA6*AA76</x:f>
        <x:v>199.03400000000002</x:v>
      </x:c>
    </x:row>
    <x:row r="25" ht="21" customHeight="1">
      <x:c r="C25" s="1" t="str">
        <x:v>Inventory</x:v>
      </x:c>
      <x:c r="D25" s="8" t="n">
        <x:f>Source!C15</x:f>
        <x:v>127.5</x:v>
      </x:c>
      <x:c r="E25" s="8" t="n">
        <x:f>Source!D15</x:f>
        <x:v>136.5</x:v>
      </x:c>
      <x:c r="F25" s="8" t="n">
        <x:f>Source!E15</x:f>
        <x:v>141</x:v>
      </x:c>
      <x:c r="G25" s="8" t="n">
        <x:f>Source!F15</x:f>
        <x:v>150</x:v>
      </x:c>
      <x:c r="H25" s="8" t="n">
        <x:f>Source!G15</x:f>
        <x:v>154.8</x:v>
      </x:c>
      <x:c r="I25" s="8" t="n">
        <x:f>Source!H15</x:f>
        <x:v>165.6</x:v>
      </x:c>
      <x:c r="J25" s="8" t="n">
        <x:f>Source!I15</x:f>
        <x:v>171</x:v>
      </x:c>
      <x:c r="K25" s="8" t="n">
        <x:f>Source!J15</x:f>
        <x:v>180</x:v>
      </x:c>
      <x:c r="L25" s="8" t="n">
        <x:f>Source!K15</x:f>
        <x:v>168</x:v>
      </x:c>
      <x:c r="M25" s="8" t="n">
        <x:f>Source!L15</x:f>
        <x:v>182</x:v>
      </x:c>
      <x:c r="N25" s="8" t="n">
        <x:f>Source!M15</x:f>
        <x:v>190</x:v>
      </x:c>
      <x:c r="O25" s="8" t="n">
        <x:f>Source!N15</x:f>
        <x:v>200</x:v>
      </x:c>
      <x:c r="P25" s="20" t="n">
        <x:f>P11/P6*P77</x:f>
        <x:v>176.79780219780218</x:v>
      </x:c>
      <x:c r="Q25" s="20" t="n">
        <x:f>Q11/Q6*Q77</x:f>
        <x:v>189.07400541487493</x:v>
      </x:c>
      <x:c r="R25" s="20" t="n">
        <x:f>R11/R6*R77</x:f>
        <x:v>202.6391304347826</x:v>
      </x:c>
      <x:c r="S25" s="20" t="n">
        <x:f>S11/S6*S77</x:f>
        <x:v>218.05654857756306</x:v>
      </x:c>
      <x:c r="T25" s="20" t="n">
        <x:f>T11/T6*T77</x:f>
        <x:v>198.9890375</x:v>
      </x:c>
      <x:c r="U25" s="20" t="n">
        <x:f>U11/U6*U77</x:f>
        <x:v>212.70093870043002</x:v>
      </x:c>
      <x:c r="V25" s="20" t="n">
        <x:f>V11/V6*V77</x:f>
        <x:v>226.75761684782614</x:v>
      </x:c>
      <x:c r="W25" s="20" t="n">
        <x:f>W11/W6*W77</x:f>
        <x:v>244.2703657910628</x:v>
      </x:c>
      <x:c r="X25" s="20" t="n">
        <x:f>X11/X6*X77</x:f>
        <x:v>214.52507999999997</x:v>
      </x:c>
      <x:c r="Y25" s="20" t="n">
        <x:f>Y11/Y6*Y77</x:f>
        <x:v>232.2598539130435</x:v>
      </x:c>
      <x:c r="Z25" s="20" t="n">
        <x:f>Z11/Z6*Z77</x:f>
        <x:v>246.03480000000005</x:v>
      </x:c>
      <x:c r="AA25" s="20" t="n">
        <x:f>AA11/AA6*AA77</x:f>
        <x:v>265.3786666666667</x:v>
      </x:c>
    </x:row>
    <x:row r="26" ht="21" customHeight="1">
      <x:c r="C26" s="27" t="str">
        <x:v>Total current assets</x:v>
      </x:c>
      <x:c r="D26" s="28" t="n">
        <x:f>Source!C16</x:f>
        <x:v>272</x:v>
      </x:c>
      <x:c r="E26" s="28" t="n">
        <x:f>Source!D16</x:f>
        <x:v>291.425</x:v>
      </x:c>
      <x:c r="F26" s="28" t="n">
        <x:f>Source!E16</x:f>
        <x:v>300.61875</x:v>
      </x:c>
      <x:c r="G26" s="28" t="n">
        <x:f>Source!F16</x:f>
        <x:v>319.8</x:v>
      </x:c>
      <x:c r="H26" s="28" t="n">
        <x:f>Source!G16</x:f>
        <x:v>334.62</x:v>
      </x:c>
      <x:c r="I26" s="28" t="n">
        <x:f>Source!H16</x:f>
        <x:v>382.315</x:v>
      </x:c>
      <x:c r="J26" s="28" t="n">
        <x:f>Source!I16</x:f>
        <x:v>393.83625</x:v>
      </x:c>
      <x:c r="K26" s="28" t="n">
        <x:f>Source!J16</x:f>
        <x:v>440.8</x:v>
      </x:c>
      <x:c r="L26" s="28" t="n">
        <x:f>Source!K16</x:f>
        <x:v>428.4</x:v>
      </x:c>
      <x:c r="M26" s="28" t="n">
        <x:f>Source!L16</x:f>
        <x:v>489.35</x:v>
      </x:c>
      <x:c r="N26" s="28" t="n">
        <x:f>Source!M16</x:f>
        <x:v>505.9375</x:v>
      </x:c>
      <x:c r="O26" s="28" t="n">
        <x:f>Source!N16</x:f>
        <x:v>560.8</x:v>
      </x:c>
      <x:c r="P26" s="29" t="n">
        <x:f>SUM(P23:P25)</x:f>
        <x:v>534.7138265114565</x:v>
      </x:c>
      <x:c r="Q26" s="29" t="n">
        <x:f>SUM(Q23:Q25)</x:f>
        <x:v>526.6430256332288</x:v>
      </x:c>
      <x:c r="R26" s="29" t="n">
        <x:f>SUM(R23:R25)</x:f>
        <x:v>521.9431994909038</x:v>
      </x:c>
      <x:c r="S26" s="29" t="n">
        <x:f>SUM(S23:S25)</x:f>
        <x:v>519.7636094995436</x:v>
      </x:c>
      <x:c r="T26" s="29" t="n">
        <x:f>SUM(T23:T25)</x:f>
        <x:v>541.7261448119939</x:v>
      </x:c>
      <x:c r="U26" s="29" t="n">
        <x:f>SUM(U23:U25)</x:f>
        <x:v>543.5501903616182</x:v>
      </x:c>
      <x:c r="V26" s="29" t="n">
        <x:f>SUM(V23:V25)</x:f>
        <x:v>552.1836813581061</x:v>
      </x:c>
      <x:c r="W26" s="29" t="n">
        <x:f>SUM(W23:W25)</x:f>
        <x:v>564.4955119770688</x:v>
      </x:c>
      <x:c r="X26" s="29" t="n">
        <x:f>SUM(X23:X25)</x:f>
        <x:v>601.5138601750735</x:v>
      </x:c>
      <x:c r="Y26" s="29" t="n">
        <x:f>SUM(Y23:Y25)</x:f>
        <x:v>616.6925499958023</x:v>
      </x:c>
      <x:c r="Z26" s="29" t="n">
        <x:f>SUM(Z23:Z25)</x:f>
        <x:v>641.372239398313</x:v>
      </x:c>
      <x:c r="AA26" s="29" t="n">
        <x:f>SUM(AA23:AA25)</x:f>
        <x:v>671.0787230402145</x:v>
      </x:c>
    </x:row>
    <x:row r="27" ht="21" customHeight="1">
      <x:c r="C27" s="1" t="str">
        <x:v>Net property, plant and equipment</x:v>
      </x:c>
      <x:c r="D27" s="8" t="n">
        <x:f>Source!C17</x:f>
        <x:v>425</x:v>
      </x:c>
      <x:c r="E27" s="8" t="n">
        <x:f>Source!D17</x:f>
        <x:v>455</x:v>
      </x:c>
      <x:c r="F27" s="8" t="n">
        <x:f>Source!E17</x:f>
        <x:v>470</x:v>
      </x:c>
      <x:c r="G27" s="8" t="n">
        <x:f>Source!F17</x:f>
        <x:v>500</x:v>
      </x:c>
      <x:c r="H27" s="8" t="n">
        <x:f>Source!G17</x:f>
        <x:v>473</x:v>
      </x:c>
      <x:c r="I27" s="8" t="n">
        <x:f>Source!H17</x:f>
        <x:v>506</x:v>
      </x:c>
      <x:c r="J27" s="8" t="n">
        <x:f>Source!I17</x:f>
        <x:v>522.5</x:v>
      </x:c>
      <x:c r="K27" s="8" t="n">
        <x:f>Source!J17</x:f>
        <x:v>550</x:v>
      </x:c>
      <x:c r="L27" s="8" t="n">
        <x:f>Source!K17</x:f>
        <x:v>504</x:v>
      </x:c>
      <x:c r="M27" s="8" t="n">
        <x:f>Source!L17</x:f>
        <x:v>546</x:v>
      </x:c>
      <x:c r="N27" s="8" t="n">
        <x:f>Source!M17</x:f>
        <x:v>570</x:v>
      </x:c>
      <x:c r="O27" s="8" t="n">
        <x:f>Source!N17</x:f>
        <x:v>600</x:v>
      </x:c>
      <x:c r="P27" s="8" t="n">
        <x:f>'Base Case'!P27</x:f>
        <x:v>609.4225208333334</x:v>
      </x:c>
      <x:c r="Q27" s="8" t="n">
        <x:f>'Base Case'!Q27</x:f>
        <x:v>617.1948125</x:v>
      </x:c>
      <x:c r="R27" s="8" t="n">
        <x:f>'Base Case'!R27</x:f>
        <x:v>627.8147291666667</x:v>
      </x:c>
      <x:c r="S27" s="8" t="n">
        <x:f>'Base Case'!S27</x:f>
        <x:v>639.4752916666666</x:v>
      </x:c>
      <x:c r="T27" s="8" t="n">
        <x:f>'Base Case'!T27</x:f>
        <x:v>648.483339375</x:v>
      </x:c>
      <x:c r="U27" s="8" t="n">
        <x:f>'Base Case'!U27</x:f>
        <x:v>655.6926372916668</x:v>
      </x:c>
      <x:c r="V27" s="8" t="n">
        <x:f>'Base Case'!V27</x:f>
        <x:v>666.0058464583335</x:v>
      </x:c>
      <x:c r="W27" s="8" t="n">
        <x:f>'Base Case'!W27</x:f>
        <x:v>677.4533595833335</x:v>
      </x:c>
      <x:c r="X27" s="8" t="n">
        <x:f>'Base Case'!X27</x:f>
        <x:v>685.7434261083334</x:v>
      </x:c>
      <x:c r="Y27" s="8" t="n">
        <x:f>'Base Case'!Y27</x:f>
        <x:v>692.0908428583335</x:v>
      </x:c>
      <x:c r="Z27" s="8" t="n">
        <x:f>'Base Case'!Z27</x:f>
        <x:v>701.7904837583335</x:v>
      </x:c>
      <x:c r="AA27" s="8" t="n">
        <x:f>'Base Case'!AA27</x:f>
        <x:v>712.7151729333335</x:v>
      </x:c>
    </x:row>
    <x:row r="28" ht="21" customHeight="1">
      <x:c r="C28" s="27" t="str">
        <x:v>Total assets</x:v>
      </x:c>
      <x:c r="D28" s="28" t="n">
        <x:f>Source!C18</x:f>
        <x:v>697</x:v>
      </x:c>
      <x:c r="E28" s="28" t="n">
        <x:f>Source!D18</x:f>
        <x:v>746.425</x:v>
      </x:c>
      <x:c r="F28" s="28" t="n">
        <x:f>Source!E18</x:f>
        <x:v>770.61875</x:v>
      </x:c>
      <x:c r="G28" s="28" t="n">
        <x:f>Source!F18</x:f>
        <x:v>819.8</x:v>
      </x:c>
      <x:c r="H28" s="28" t="n">
        <x:f>Source!G18</x:f>
        <x:v>807.62</x:v>
      </x:c>
      <x:c r="I28" s="28" t="n">
        <x:f>Source!H18</x:f>
        <x:v>888.315</x:v>
      </x:c>
      <x:c r="J28" s="28" t="n">
        <x:f>Source!I18</x:f>
        <x:v>916.33625</x:v>
      </x:c>
      <x:c r="K28" s="28" t="n">
        <x:f>Source!J18</x:f>
        <x:v>990.8</x:v>
      </x:c>
      <x:c r="L28" s="28" t="n">
        <x:f>Source!K18</x:f>
        <x:v>932.4</x:v>
      </x:c>
      <x:c r="M28" s="28" t="n">
        <x:f>Source!L18</x:f>
        <x:v>1035.35</x:v>
      </x:c>
      <x:c r="N28" s="28" t="n">
        <x:f>Source!M18</x:f>
        <x:v>1075.9375</x:v>
      </x:c>
      <x:c r="O28" s="28" t="n">
        <x:f>Source!N18</x:f>
        <x:v>1160.8</x:v>
      </x:c>
      <x:c r="P28" s="29" t="n">
        <x:f>P26+P27</x:f>
        <x:v>1144.13634734479</x:v>
      </x:c>
      <x:c r="Q28" s="29" t="n">
        <x:f>Q26+Q27</x:f>
        <x:v>1143.8378381332288</x:v>
      </x:c>
      <x:c r="R28" s="29" t="n">
        <x:f>R26+R27</x:f>
        <x:v>1149.7579286575706</x:v>
      </x:c>
      <x:c r="S28" s="29" t="n">
        <x:f>S26+S27</x:f>
        <x:v>1159.2389011662103</x:v>
      </x:c>
      <x:c r="T28" s="29" t="n">
        <x:f>T26+T27</x:f>
        <x:v>1190.209484186994</x:v>
      </x:c>
      <x:c r="U28" s="29" t="n">
        <x:f>U26+U27</x:f>
        <x:v>1199.242827653285</x:v>
      </x:c>
      <x:c r="V28" s="29" t="n">
        <x:f>V26+V27</x:f>
        <x:v>1218.1895278164397</x:v>
      </x:c>
      <x:c r="W28" s="29" t="n">
        <x:f>W26+W27</x:f>
        <x:v>1241.9488715604023</x:v>
      </x:c>
      <x:c r="X28" s="29" t="n">
        <x:f>X26+X27</x:f>
        <x:v>1287.257286283407</x:v>
      </x:c>
      <x:c r="Y28" s="29" t="n">
        <x:f>Y26+Y27</x:f>
        <x:v>1308.7833928541359</x:v>
      </x:c>
      <x:c r="Z28" s="29" t="n">
        <x:f>Z26+Z27</x:f>
        <x:v>1343.1627231566465</x:v>
      </x:c>
      <x:c r="AA28" s="29" t="n">
        <x:f>AA26+AA27</x:f>
        <x:v>1383.793895973548</x:v>
      </x:c>
    </x:row>
    <x:row r="29" ht="21" customHeight="1"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21" customHeight="1">
      <x:c r="C30" s="1" t="str">
        <x:v>Accounts payable</x:v>
      </x:c>
      <x:c r="D30" s="8" t="n">
        <x:f>Source!C20</x:f>
        <x:v>76.8</x:v>
      </x:c>
      <x:c r="E30" s="8" t="n">
        <x:f>Source!D20</x:f>
        <x:v>81.6</x:v>
      </x:c>
      <x:c r="F30" s="8" t="n">
        <x:f>Source!E20</x:f>
        <x:v>79.2</x:v>
      </x:c>
      <x:c r="G30" s="8" t="n">
        <x:f>Source!F20</x:f>
        <x:v>80</x:v>
      </x:c>
      <x:c r="H30" s="8" t="n">
        <x:f>Source!G20</x:f>
        <x:v>102</x:v>
      </x:c>
      <x:c r="I30" s="8" t="n">
        <x:f>Source!H20</x:f>
        <x:v>98</x:v>
      </x:c>
      <x:c r="J30" s="8" t="n">
        <x:f>Source!I20</x:f>
        <x:v>101</x:v>
      </x:c>
      <x:c r="K30" s="8" t="n">
        <x:f>Source!J20</x:f>
        <x:v>100</x:v>
      </x:c>
      <x:c r="L30" s="8" t="n">
        <x:f>Source!K20</x:f>
        <x:v>118.8</x:v>
      </x:c>
      <x:c r="M30" s="8" t="n">
        <x:f>Source!L20</x:f>
        <x:v>116.4</x:v>
      </x:c>
      <x:c r="N30" s="8" t="n">
        <x:f>Source!M20</x:f>
        <x:v>117.6</x:v>
      </x:c>
      <x:c r="O30" s="8" t="n">
        <x:f>Source!N20</x:f>
        <x:v>120</x:v>
      </x:c>
      <x:c r="P30" s="20" t="n">
        <x:f>P11/P6*P78</x:f>
        <x:v>101.95912087912086</x:v>
      </x:c>
      <x:c r="Q30" s="20" t="n">
        <x:f>Q11/Q6*Q78</x:f>
        <x:v>100.94747826086956</x:v>
      </x:c>
      <x:c r="R30" s="20" t="n">
        <x:f>R11/R6*R78</x:f>
        <x:v>103.48799999999999</x:v>
      </x:c>
      <x:c r="S30" s="20" t="n">
        <x:f>S11/S6*S78</x:f>
        <x:v>108.2074074074074</x:v>
      </x:c>
      <x:c r="T30" s="20" t="n">
        <x:f>T11/T6*T78</x:f>
        <x:v>126.416565</x:v>
      </x:c>
      <x:c r="U30" s="20" t="n">
        <x:f>U11/U6*U78</x:f>
        <x:v>123.78684521739132</x:v>
      </x:c>
      <x:c r="V30" s="20" t="n">
        <x:f>V11/V6*V78</x:f>
        <x:v>126.90216000000002</x:v>
      </x:c>
      <x:c r="W30" s="20" t="n">
        <x:f>W11/W6*W78</x:f>
        <x:v>132.6893333333333</x:v>
      </x:c>
      <x:c r="X30" s="20" t="n">
        <x:f>X11/X6*X78</x:f>
        <x:v>151.69987799999998</x:v>
      </x:c>
      <x:c r="Y30" s="20" t="n">
        <x:f>Y11/Y6*Y78</x:f>
        <x:v>148.54421426086958</x:v>
      </x:c>
      <x:c r="Z30" s="20" t="n">
        <x:f>Z11/Z6*Z78</x:f>
        <x:v>152.282592</x:v>
      </x:c>
      <x:c r="AA30" s="20" t="n">
        <x:f>AA11/AA6*AA78</x:f>
        <x:v>159.2272</x:v>
      </x:c>
    </x:row>
    <x:row r="31" ht="21" customHeight="1">
      <x:c r="C31" s="1" t="str">
        <x:v>Current portion of debt</x:v>
      </x:c>
      <x:c r="D31" s="8" t="n">
        <x:f>Source!C21</x:f>
        <x:v>25.5</x:v>
      </x:c>
      <x:c r="E31" s="8" t="n">
        <x:f>Source!D21</x:f>
        <x:v>27.3</x:v>
      </x:c>
      <x:c r="F31" s="8" t="n">
        <x:f>Source!E21</x:f>
        <x:v>28.2</x:v>
      </x:c>
      <x:c r="G31" s="8" t="n">
        <x:f>Source!F21</x:f>
        <x:v>30</x:v>
      </x:c>
      <x:c r="H31" s="8" t="n">
        <x:f>Source!G21</x:f>
        <x:v>34.4</x:v>
      </x:c>
      <x:c r="I31" s="8" t="n">
        <x:f>Source!H21</x:f>
        <x:v>36.8</x:v>
      </x:c>
      <x:c r="J31" s="8" t="n">
        <x:f>Source!I21</x:f>
        <x:v>38</x:v>
      </x:c>
      <x:c r="K31" s="8" t="n">
        <x:f>Source!J21</x:f>
        <x:v>40</x:v>
      </x:c>
      <x:c r="L31" s="8" t="n">
        <x:f>Source!K21</x:f>
        <x:v>42</x:v>
      </x:c>
      <x:c r="M31" s="8" t="n">
        <x:f>Source!L21</x:f>
        <x:v>45.5</x:v>
      </x:c>
      <x:c r="N31" s="8" t="n">
        <x:f>Source!M21</x:f>
        <x:v>47.5</x:v>
      </x:c>
      <x:c r="O31" s="8" t="n">
        <x:f>Source!N21</x:f>
        <x:v>50</x:v>
      </x:c>
      <x:c r="P31" s="8" t="n">
        <x:f>MIN(P66,Assumptions!D12)</x:f>
        <x:v>50</x:v>
      </x:c>
      <x:c r="Q31" s="8" t="n">
        <x:f>MIN(Q66,Assumptions!D12)</x:f>
        <x:v>50</x:v>
      </x:c>
      <x:c r="R31" s="8" t="n">
        <x:f>MIN(R66,Assumptions!D12)</x:f>
        <x:v>50</x:v>
      </x:c>
      <x:c r="S31" s="8" t="n">
        <x:f>MIN(S66,Assumptions!D12)</x:f>
        <x:v>50</x:v>
      </x:c>
      <x:c r="T31" s="8" t="n">
        <x:f>MIN(T66,Assumptions!E12)</x:f>
        <x:v>50</x:v>
      </x:c>
      <x:c r="U31" s="8" t="n">
        <x:f>MIN(U66,Assumptions!E12)</x:f>
        <x:v>50</x:v>
      </x:c>
      <x:c r="V31" s="8" t="n">
        <x:f>MIN(V66,Assumptions!E12)</x:f>
        <x:v>50</x:v>
      </x:c>
      <x:c r="W31" s="8" t="n">
        <x:f>MIN(W66,Assumptions!E12)</x:f>
        <x:v>50</x:v>
      </x:c>
      <x:c r="X31" s="8" t="n">
        <x:f>MIN(X66,Assumptions!F12)</x:f>
        <x:v>50</x:v>
      </x:c>
      <x:c r="Y31" s="8" t="n">
        <x:f>MIN(Y66,Assumptions!F12)</x:f>
        <x:v>50</x:v>
      </x:c>
      <x:c r="Z31" s="8" t="n">
        <x:f>MIN(Z66,Assumptions!F12)</x:f>
        <x:v>50</x:v>
      </x:c>
      <x:c r="AA31" s="8" t="n">
        <x:f>MIN(AA66,Assumptions!F12)</x:f>
        <x:v>50</x:v>
      </x:c>
    </x:row>
    <x:row r="32" ht="21" customHeight="1">
      <x:c r="C32" s="27" t="str">
        <x:v>Total current liabilities</x:v>
      </x:c>
      <x:c r="D32" s="28" t="n">
        <x:f>Source!C22</x:f>
        <x:v>102.3</x:v>
      </x:c>
      <x:c r="E32" s="28" t="n">
        <x:f>Source!D22</x:f>
        <x:v>108.9</x:v>
      </x:c>
      <x:c r="F32" s="28" t="n">
        <x:f>Source!E22</x:f>
        <x:v>107.4</x:v>
      </x:c>
      <x:c r="G32" s="28" t="n">
        <x:f>Source!F22</x:f>
        <x:v>110</x:v>
      </x:c>
      <x:c r="H32" s="28" t="n">
        <x:f>Source!G22</x:f>
        <x:v>136.4</x:v>
      </x:c>
      <x:c r="I32" s="28" t="n">
        <x:f>Source!H22</x:f>
        <x:v>134.8</x:v>
      </x:c>
      <x:c r="J32" s="28" t="n">
        <x:f>Source!I22</x:f>
        <x:v>139</x:v>
      </x:c>
      <x:c r="K32" s="28" t="n">
        <x:f>Source!J22</x:f>
        <x:v>140</x:v>
      </x:c>
      <x:c r="L32" s="28" t="n">
        <x:f>Source!K22</x:f>
        <x:v>160.8</x:v>
      </x:c>
      <x:c r="M32" s="28" t="n">
        <x:f>Source!L22</x:f>
        <x:v>161.9</x:v>
      </x:c>
      <x:c r="N32" s="28" t="n">
        <x:f>Source!M22</x:f>
        <x:v>165.1</x:v>
      </x:c>
      <x:c r="O32" s="28" t="n">
        <x:f>Source!N22</x:f>
        <x:v>170</x:v>
      </x:c>
      <x:c r="P32" s="29" t="n">
        <x:f>SUM(P30:P31)</x:f>
        <x:v>151.95912087912086</x:v>
      </x:c>
      <x:c r="Q32" s="29" t="n">
        <x:f>SUM(Q30:Q31)</x:f>
        <x:v>150.94747826086956</x:v>
      </x:c>
      <x:c r="R32" s="29" t="n">
        <x:f>SUM(R30:R31)</x:f>
        <x:v>153.488</x:v>
      </x:c>
      <x:c r="S32" s="29" t="n">
        <x:f>SUM(S30:S31)</x:f>
        <x:v>158.2074074074074</x:v>
      </x:c>
      <x:c r="T32" s="29" t="n">
        <x:f>SUM(T30:T31)</x:f>
        <x:v>176.416565</x:v>
      </x:c>
      <x:c r="U32" s="29" t="n">
        <x:f>SUM(U30:U31)</x:f>
        <x:v>173.78684521739132</x:v>
      </x:c>
      <x:c r="V32" s="29" t="n">
        <x:f>SUM(V30:V31)</x:f>
        <x:v>176.90216000000004</x:v>
      </x:c>
      <x:c r="W32" s="29" t="n">
        <x:f>SUM(W30:W31)</x:f>
        <x:v>182.6893333333333</x:v>
      </x:c>
      <x:c r="X32" s="29" t="n">
        <x:f>SUM(X30:X31)</x:f>
        <x:v>201.69987799999998</x:v>
      </x:c>
      <x:c r="Y32" s="29" t="n">
        <x:f>SUM(Y30:Y31)</x:f>
        <x:v>198.54421426086958</x:v>
      </x:c>
      <x:c r="Z32" s="29" t="n">
        <x:f>SUM(Z30:Z31)</x:f>
        <x:v>202.282592</x:v>
      </x:c>
      <x:c r="AA32" s="29" t="n">
        <x:f>SUM(AA30:AA31)</x:f>
        <x:v>209.2272</x:v>
      </x:c>
    </x:row>
    <x:row r="33" ht="21" customHeight="1">
      <x:c r="C33" s="1" t="str">
        <x:v>Long-term debt</x:v>
      </x:c>
      <x:c r="D33" s="8" t="n">
        <x:f>Source!C23</x:f>
        <x:v>357.5</x:v>
      </x:c>
      <x:c r="E33" s="8" t="n">
        <x:f>Source!D23</x:f>
        <x:v>355.625</x:v>
      </x:c>
      <x:c r="F33" s="8" t="n">
        <x:f>Source!E23</x:f>
        <x:v>354.21875</x:v>
      </x:c>
      <x:c r="G33" s="8" t="n">
        <x:f>Source!F23</x:f>
        <x:v>350</x:v>
      </x:c>
      <x:c r="H33" s="8" t="n">
        <x:f>Source!G23</x:f>
        <x:v>342.5</x:v>
      </x:c>
      <x:c r="I33" s="8" t="n">
        <x:f>Source!H23</x:f>
        <x:v>336.875</x:v>
      </x:c>
      <x:c r="J33" s="8" t="n">
        <x:f>Source!I23</x:f>
        <x:v>332.65625</x:v>
      </x:c>
      <x:c r="K33" s="8" t="n">
        <x:f>Source!J23</x:f>
        <x:v>320</x:v>
      </x:c>
      <x:c r="L33" s="8" t="n">
        <x:f>Source!K23</x:f>
        <x:v>315</x:v>
      </x:c>
      <x:c r="M33" s="8" t="n">
        <x:f>Source!L23</x:f>
        <x:v>311.25</x:v>
      </x:c>
      <x:c r="N33" s="8" t="n">
        <x:f>Source!M23</x:f>
        <x:v>308.4375</x:v>
      </x:c>
      <x:c r="O33" s="8" t="n">
        <x:f>Source!N23</x:f>
        <x:v>300</x:v>
      </x:c>
      <x:c r="P33" s="20" t="n">
        <x:f>P66-P31</x:f>
        <x:v>287.5</x:v>
      </x:c>
      <x:c r="Q33" s="20" t="n">
        <x:f>Q66-Q31</x:f>
        <x:v>275</x:v>
      </x:c>
      <x:c r="R33" s="20" t="n">
        <x:f>R66-R31</x:f>
        <x:v>262.5</x:v>
      </x:c>
      <x:c r="S33" s="20" t="n">
        <x:f>S66-S31</x:f>
        <x:v>250</x:v>
      </x:c>
      <x:c r="T33" s="20" t="n">
        <x:f>T66-T31</x:f>
        <x:v>237.5</x:v>
      </x:c>
      <x:c r="U33" s="20" t="n">
        <x:f>U66-U31</x:f>
        <x:v>225</x:v>
      </x:c>
      <x:c r="V33" s="20" t="n">
        <x:f>V66-V31</x:f>
        <x:v>212.5</x:v>
      </x:c>
      <x:c r="W33" s="20" t="n">
        <x:f>W66-W31</x:f>
        <x:v>200</x:v>
      </x:c>
      <x:c r="X33" s="20" t="n">
        <x:f>X66-X31</x:f>
        <x:v>187.5</x:v>
      </x:c>
      <x:c r="Y33" s="20" t="n">
        <x:f>Y66-Y31</x:f>
        <x:v>175</x:v>
      </x:c>
      <x:c r="Z33" s="20" t="n">
        <x:f>Z66-Z31</x:f>
        <x:v>162.5</x:v>
      </x:c>
      <x:c r="AA33" s="20" t="n">
        <x:f>AA66-AA31</x:f>
        <x:v>150</x:v>
      </x:c>
    </x:row>
    <x:row r="34" ht="21" customHeight="1">
      <x:c r="C34" s="27" t="str">
        <x:v>Total liabilities</x:v>
      </x:c>
      <x:c r="D34" s="28" t="n">
        <x:f>Source!C24</x:f>
        <x:v>459.8</x:v>
      </x:c>
      <x:c r="E34" s="28" t="n">
        <x:f>Source!D24</x:f>
        <x:v>464.525</x:v>
      </x:c>
      <x:c r="F34" s="28" t="n">
        <x:f>Source!E24</x:f>
        <x:v>461.61875</x:v>
      </x:c>
      <x:c r="G34" s="28" t="n">
        <x:f>Source!F24</x:f>
        <x:v>460</x:v>
      </x:c>
      <x:c r="H34" s="28" t="n">
        <x:f>Source!G24</x:f>
        <x:v>478.9</x:v>
      </x:c>
      <x:c r="I34" s="28" t="n">
        <x:f>Source!H24</x:f>
        <x:v>471.675</x:v>
      </x:c>
      <x:c r="J34" s="28" t="n">
        <x:f>Source!I24</x:f>
        <x:v>471.65625</x:v>
      </x:c>
      <x:c r="K34" s="28" t="n">
        <x:f>Source!J24</x:f>
        <x:v>460</x:v>
      </x:c>
      <x:c r="L34" s="28" t="n">
        <x:f>Source!K24</x:f>
        <x:v>475.8</x:v>
      </x:c>
      <x:c r="M34" s="28" t="n">
        <x:f>Source!L24</x:f>
        <x:v>473.15</x:v>
      </x:c>
      <x:c r="N34" s="28" t="n">
        <x:f>Source!M24</x:f>
        <x:v>473.5375</x:v>
      </x:c>
      <x:c r="O34" s="28" t="n">
        <x:f>Source!N24</x:f>
        <x:v>470</x:v>
      </x:c>
      <x:c r="P34" s="29" t="n">
        <x:f>P32+P33</x:f>
        <x:v>439.45912087912086</x:v>
      </x:c>
      <x:c r="Q34" s="29" t="n">
        <x:f>Q32+Q33</x:f>
        <x:v>425.94747826086956</x:v>
      </x:c>
      <x:c r="R34" s="29" t="n">
        <x:f>R32+R33</x:f>
        <x:v>415.988</x:v>
      </x:c>
      <x:c r="S34" s="29" t="n">
        <x:f>S32+S33</x:f>
        <x:v>408.2074074074074</x:v>
      </x:c>
      <x:c r="T34" s="29" t="n">
        <x:f>T32+T33</x:f>
        <x:v>413.916565</x:v>
      </x:c>
      <x:c r="U34" s="29" t="n">
        <x:f>U32+U33</x:f>
        <x:v>398.7868452173913</x:v>
      </x:c>
      <x:c r="V34" s="29" t="n">
        <x:f>V32+V33</x:f>
        <x:v>389.40216000000004</x:v>
      </x:c>
      <x:c r="W34" s="29" t="n">
        <x:f>W32+W33</x:f>
        <x:v>382.6893333333333</x:v>
      </x:c>
      <x:c r="X34" s="29" t="n">
        <x:f>X32+X33</x:f>
        <x:v>389.199878</x:v>
      </x:c>
      <x:c r="Y34" s="29" t="n">
        <x:f>Y32+Y33</x:f>
        <x:v>373.5442142608696</x:v>
      </x:c>
      <x:c r="Z34" s="29" t="n">
        <x:f>Z32+Z33</x:f>
        <x:v>364.782592</x:v>
      </x:c>
      <x:c r="AA34" s="29" t="n">
        <x:f>AA32+AA33</x:f>
        <x:v>359.22720000000004</x:v>
      </x:c>
    </x:row>
    <x:row r="35" ht="21" customHeight="1">
      <x:c r="C35" s="1" t="str">
        <x:v>Common stock</x:v>
      </x:c>
      <x:c r="D35" s="8" t="n">
        <x:f>Source!C25</x:f>
        <x:v>100</x:v>
      </x:c>
      <x:c r="E35" s="8" t="n">
        <x:f>Source!D25</x:f>
        <x:v>126</x:v>
      </x:c>
      <x:c r="F35" s="8" t="n">
        <x:f>Source!E25</x:f>
        <x:v>131</x:v>
      </x:c>
      <x:c r="G35" s="8" t="n">
        <x:f>Source!F25</x:f>
        <x:v>158</x:v>
      </x:c>
      <x:c r="H35" s="8" t="n">
        <x:f>Source!G25</x:f>
        <x:v>103</x:v>
      </x:c>
      <x:c r="I35" s="8" t="n">
        <x:f>Source!H25</x:f>
        <x:v>167</x:v>
      </x:c>
      <x:c r="J35" s="8" t="n">
        <x:f>Source!I25</x:f>
        <x:v>168</x:v>
      </x:c>
      <x:c r="K35" s="8" t="n">
        <x:f>Source!J25</x:f>
        <x:v>225</x:v>
      </x:c>
      <x:c r="L35" s="8" t="n">
        <x:f>Source!K25</x:f>
        <x:v>122</x:v>
      </x:c>
      <x:c r="M35" s="8" t="n">
        <x:f>Source!L25</x:f>
        <x:v>200</x:v>
      </x:c>
      <x:c r="N35" s="8" t="n">
        <x:f>Source!M25</x:f>
        <x:v>209</x:v>
      </x:c>
      <x:c r="O35" s="8" t="n">
        <x:f>Source!N25</x:f>
        <x:v>265</x:v>
      </x:c>
      <x:c r="P35" s="20" t="n">
        <x:f>O35+P50</x:f>
        <x:v>265</x:v>
      </x:c>
      <x:c r="Q35" s="20" t="n">
        <x:f>P35+Q50</x:f>
        <x:v>265</x:v>
      </x:c>
      <x:c r="R35" s="20" t="n">
        <x:f>Q35+R50</x:f>
        <x:v>265</x:v>
      </x:c>
      <x:c r="S35" s="20" t="n">
        <x:f>R35+S50</x:f>
        <x:v>265</x:v>
      </x:c>
      <x:c r="T35" s="20" t="n">
        <x:f>S35+T50</x:f>
        <x:v>265</x:v>
      </x:c>
      <x:c r="U35" s="20" t="n">
        <x:f>T35+U50</x:f>
        <x:v>265</x:v>
      </x:c>
      <x:c r="V35" s="20" t="n">
        <x:f>U35+V50</x:f>
        <x:v>265</x:v>
      </x:c>
      <x:c r="W35" s="20" t="n">
        <x:f>V35+W50</x:f>
        <x:v>265</x:v>
      </x:c>
      <x:c r="X35" s="20" t="n">
        <x:f>W35+X50</x:f>
        <x:v>265</x:v>
      </x:c>
      <x:c r="Y35" s="20" t="n">
        <x:f>X35+Y50</x:f>
        <x:v>265</x:v>
      </x:c>
      <x:c r="Z35" s="20" t="n">
        <x:f>Y35+Z50</x:f>
        <x:v>265</x:v>
      </x:c>
      <x:c r="AA35" s="20" t="n">
        <x:f>Z35+AA50</x:f>
        <x:v>265</x:v>
      </x:c>
    </x:row>
    <x:row r="36" ht="21" customHeight="1">
      <x:c r="C36" s="1" t="str">
        <x:v>Retained earnings</x:v>
      </x:c>
      <x:c r="D36" s="8" t="n">
        <x:f>Source!C26</x:f>
        <x:v>137.4</x:v>
      </x:c>
      <x:c r="E36" s="8" t="n">
        <x:f>Source!D26</x:f>
        <x:v>156.1</x:v>
      </x:c>
      <x:c r="F36" s="8" t="n">
        <x:f>Source!E26</x:f>
        <x:v>178.2</x:v>
      </x:c>
      <x:c r="G36" s="8" t="n">
        <x:f>Source!F26</x:f>
        <x:v>202</x:v>
      </x:c>
      <x:c r="H36" s="8" t="n">
        <x:f>Source!G26</x:f>
        <x:v>225.92</x:v>
      </x:c>
      <x:c r="I36" s="8" t="n">
        <x:f>Source!H26</x:f>
        <x:v>249.84</x:v>
      </x:c>
      <x:c r="J36" s="8" t="n">
        <x:f>Source!I26</x:f>
        <x:v>276.88</x:v>
      </x:c>
      <x:c r="K36" s="8" t="n">
        <x:f>Source!J26</x:f>
        <x:v>306</x:v>
      </x:c>
      <x:c r="L36" s="8" t="n">
        <x:f>Source!K26</x:f>
        <x:v>334.8</x:v>
      </x:c>
      <x:c r="M36" s="8" t="n">
        <x:f>Source!L26</x:f>
        <x:v>362.4</x:v>
      </x:c>
      <x:c r="N36" s="8" t="n">
        <x:f>Source!M26</x:f>
        <x:v>393.6</x:v>
      </x:c>
      <x:c r="O36" s="8" t="n">
        <x:f>Source!N26</x:f>
        <x:v>426</x:v>
      </x:c>
      <x:c r="P36" s="20" t="n">
        <x:f>O36+P20+P51</x:f>
        <x:v>439.877226465669</x:v>
      </x:c>
      <x:c r="Q36" s="20" t="n">
        <x:f>P36+Q20+Q51</x:f>
        <x:v>453.0903598723592</x:v>
      </x:c>
      <x:c r="R36" s="20" t="n">
        <x:f>Q36+R20+R51</x:f>
        <x:v>468.9699286575705</x:v>
      </x:c>
      <x:c r="S36" s="20" t="n">
        <x:f>R36+S20+S51</x:f>
        <x:v>486.2314937588029</x:v>
      </x:c>
      <x:c r="T36" s="20" t="n">
        <x:f>S36+T20+T51</x:f>
        <x:v>511.49291918699396</x:v>
      </x:c>
      <x:c r="U36" s="20" t="n">
        <x:f>T36+U20+U51</x:f>
        <x:v>535.6559824358936</x:v>
      </x:c>
      <x:c r="V36" s="20" t="n">
        <x:f>U36+V20+V51</x:f>
        <x:v>563.9873678164395</x:v>
      </x:c>
      <x:c r="W36" s="20" t="n">
        <x:f>V36+W20+W51</x:f>
        <x:v>594.459538227069</x:v>
      </x:c>
      <x:c r="X36" s="20" t="n">
        <x:f>W36+X20+X51</x:f>
        <x:v>633.257408283407</x:v>
      </x:c>
      <x:c r="Y36" s="20" t="n">
        <x:f>X36+Y20+Y51</x:f>
        <x:v>670.4391785932662</x:v>
      </x:c>
      <x:c r="Z36" s="20" t="n">
        <x:f>Y36+Z20+Z51</x:f>
        <x:v>713.5801311566465</x:v>
      </x:c>
      <x:c r="AA36" s="20" t="n">
        <x:f>Z36+AA20+AA51</x:f>
        <x:v>759.7666959735479</x:v>
      </x:c>
    </x:row>
    <x:row r="37" ht="21" customHeight="1">
      <x:c r="C37" s="1" t="str">
        <x:v>Unresolved opening equity difference</x:v>
      </x:c>
      <x:c r="D37" s="8" t="n">
        <x:f>Assumptions!$D$31</x:f>
        <x:v>-0.2</x:v>
      </x:c>
      <x:c r="E37" s="8" t="n">
        <x:f>Assumptions!$D$31</x:f>
        <x:v>-0.2</x:v>
      </x:c>
      <x:c r="F37" s="8" t="n">
        <x:f>Assumptions!$D$31</x:f>
        <x:v>-0.2</x:v>
      </x:c>
      <x:c r="G37" s="8" t="n">
        <x:f>Assumptions!$D$31</x:f>
        <x:v>-0.2</x:v>
      </x:c>
      <x:c r="H37" s="8" t="n">
        <x:f>Assumptions!$D$31</x:f>
        <x:v>-0.2</x:v>
      </x:c>
      <x:c r="I37" s="8" t="n">
        <x:f>Assumptions!$D$31</x:f>
        <x:v>-0.2</x:v>
      </x:c>
      <x:c r="J37" s="8" t="n">
        <x:f>Assumptions!$D$31</x:f>
        <x:v>-0.2</x:v>
      </x:c>
      <x:c r="K37" s="8" t="n">
        <x:f>Assumptions!$D$31</x:f>
        <x:v>-0.2</x:v>
      </x:c>
      <x:c r="L37" s="8" t="n">
        <x:f>Assumptions!$D$31</x:f>
        <x:v>-0.2</x:v>
      </x:c>
      <x:c r="M37" s="8" t="n">
        <x:f>Assumptions!$D$31</x:f>
        <x:v>-0.2</x:v>
      </x:c>
      <x:c r="N37" s="8" t="n">
        <x:f>Assumptions!$D$31</x:f>
        <x:v>-0.2</x:v>
      </x:c>
      <x:c r="O37" s="8" t="n">
        <x:f>Assumptions!$D$31</x:f>
        <x:v>-0.2</x:v>
      </x:c>
      <x:c r="P37" s="20" t="n">
        <x:f>O37</x:f>
        <x:v>-0.2</x:v>
      </x:c>
      <x:c r="Q37" s="20" t="n">
        <x:f>P37</x:f>
        <x:v>-0.2</x:v>
      </x:c>
      <x:c r="R37" s="20" t="n">
        <x:f>Q37</x:f>
        <x:v>-0.2</x:v>
      </x:c>
      <x:c r="S37" s="20" t="n">
        <x:f>R37</x:f>
        <x:v>-0.2</x:v>
      </x:c>
      <x:c r="T37" s="20" t="n">
        <x:f>S37</x:f>
        <x:v>-0.2</x:v>
      </x:c>
      <x:c r="U37" s="20" t="n">
        <x:f>T37</x:f>
        <x:v>-0.2</x:v>
      </x:c>
      <x:c r="V37" s="20" t="n">
        <x:f>U37</x:f>
        <x:v>-0.2</x:v>
      </x:c>
      <x:c r="W37" s="20" t="n">
        <x:f>V37</x:f>
        <x:v>-0.2</x:v>
      </x:c>
      <x:c r="X37" s="20" t="n">
        <x:f>W37</x:f>
        <x:v>-0.2</x:v>
      </x:c>
      <x:c r="Y37" s="20" t="n">
        <x:f>X37</x:f>
        <x:v>-0.2</x:v>
      </x:c>
      <x:c r="Z37" s="20" t="n">
        <x:f>Y37</x:f>
        <x:v>-0.2</x:v>
      </x:c>
      <x:c r="AA37" s="20" t="n">
        <x:f>Z37</x:f>
        <x:v>-0.2</x:v>
      </x:c>
    </x:row>
    <x:row r="38" ht="21" customHeight="1">
      <x:c r="C38" s="27" t="str">
        <x:v>Total liabilities and equity</x:v>
      </x:c>
      <x:c r="D38" s="29" t="n">
        <x:f>SUM(D34:D37)</x:f>
        <x:v>696.9999999999999</x:v>
      </x:c>
      <x:c r="E38" s="29" t="n">
        <x:f>SUM(E34:E37)</x:f>
        <x:v>746.425</x:v>
      </x:c>
      <x:c r="F38" s="29" t="n">
        <x:f>SUM(F34:F37)</x:f>
        <x:v>770.6187499999999</x:v>
      </x:c>
      <x:c r="G38" s="29" t="n">
        <x:f>SUM(G34:G37)</x:f>
        <x:v>819.8</x:v>
      </x:c>
      <x:c r="H38" s="29" t="n">
        <x:f>SUM(H34:H37)</x:f>
        <x:v>807.6199999999999</x:v>
      </x:c>
      <x:c r="I38" s="29" t="n">
        <x:f>SUM(I34:I37)</x:f>
        <x:v>888.3149999999999</x:v>
      </x:c>
      <x:c r="J38" s="29" t="n">
        <x:f>SUM(J34:J37)</x:f>
        <x:v>916.33625</x:v>
      </x:c>
      <x:c r="K38" s="29" t="n">
        <x:f>SUM(K34:K37)</x:f>
        <x:v>990.8</x:v>
      </x:c>
      <x:c r="L38" s="29" t="n">
        <x:f>SUM(L34:L37)</x:f>
        <x:v>932.3999999999999</x:v>
      </x:c>
      <x:c r="M38" s="29" t="n">
        <x:f>SUM(M34:M37)</x:f>
        <x:v>1035.35</x:v>
      </x:c>
      <x:c r="N38" s="29" t="n">
        <x:f>SUM(N34:N37)</x:f>
        <x:v>1075.9375</x:v>
      </x:c>
      <x:c r="O38" s="29" t="n">
        <x:f>SUM(O34:O37)</x:f>
        <x:v>1160.8</x:v>
      </x:c>
      <x:c r="P38" s="29" t="n">
        <x:f>SUM(P34:P37)</x:f>
        <x:v>1144.1363473447898</x:v>
      </x:c>
      <x:c r="Q38" s="29" t="n">
        <x:f>SUM(Q34:Q37)</x:f>
        <x:v>1143.8378381332286</x:v>
      </x:c>
      <x:c r="R38" s="29" t="n">
        <x:f>SUM(R34:R37)</x:f>
        <x:v>1149.7579286575706</x:v>
      </x:c>
      <x:c r="S38" s="29" t="n">
        <x:f>SUM(S34:S37)</x:f>
        <x:v>1159.23890116621</x:v>
      </x:c>
      <x:c r="T38" s="29" t="n">
        <x:f>SUM(T34:T37)</x:f>
        <x:v>1190.209484186994</x:v>
      </x:c>
      <x:c r="U38" s="29" t="n">
        <x:f>SUM(U34:U37)</x:f>
        <x:v>1199.2428276532848</x:v>
      </x:c>
      <x:c r="V38" s="29" t="n">
        <x:f>SUM(V34:V37)</x:f>
        <x:v>1218.1895278164395</x:v>
      </x:c>
      <x:c r="W38" s="29" t="n">
        <x:f>SUM(W34:W37)</x:f>
        <x:v>1241.9488715604023</x:v>
      </x:c>
      <x:c r="X38" s="29" t="n">
        <x:f>SUM(X34:X37)</x:f>
        <x:v>1287.257286283407</x:v>
      </x:c>
      <x:c r="Y38" s="29" t="n">
        <x:f>SUM(Y34:Y37)</x:f>
        <x:v>1308.7833928541356</x:v>
      </x:c>
      <x:c r="Z38" s="29" t="n">
        <x:f>SUM(Z34:Z37)</x:f>
        <x:v>1343.1627231566465</x:v>
      </x:c>
      <x:c r="AA38" s="29" t="n">
        <x:f>SUM(AA34:AA37)</x:f>
        <x:v>1383.793895973548</x:v>
      </x:c>
    </x:row>
    <x:row r="39" ht="21" customHeight="1"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21" customHeight="1">
      <x:c r="C40" s="15" t="str">
        <x:v>Cash flow statement</x:v>
      </x:c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s="16"/>
      <x:c r="Y40" s="16"/>
      <x:c r="Z40" s="16"/>
      <x:c r="AA40" s="16"/>
    </x:row>
    <x:row r="41" ht="21" customHeight="1">
      <x:c r="C41" s="1" t="str">
        <x:v>Net income</x:v>
      </x:c>
      <x:c r="D41" s="8" t="n">
        <x:f>Source!C28</x:f>
        <x:v>20.4</x:v>
      </x:c>
      <x:c r="E41" s="8" t="n">
        <x:f>Source!D28</x:f>
        <x:v>18.7</x:v>
      </x:c>
      <x:c r="F41" s="8" t="n">
        <x:f>Source!E28</x:f>
        <x:v>22.1</x:v>
      </x:c>
      <x:c r="G41" s="8" t="n">
        <x:f>Source!F28</x:f>
        <x:v>23.8</x:v>
      </x:c>
      <x:c r="H41" s="8" t="n">
        <x:f>Source!G28</x:f>
        <x:v>23.92</x:v>
      </x:c>
      <x:c r="I41" s="8" t="n">
        <x:f>Source!H28</x:f>
        <x:v>23.92</x:v>
      </x:c>
      <x:c r="J41" s="8" t="n">
        <x:f>Source!I28</x:f>
        <x:v>27.04</x:v>
      </x:c>
      <x:c r="K41" s="8" t="n">
        <x:f>Source!J28</x:f>
        <x:v>29.12</x:v>
      </x:c>
      <x:c r="L41" s="8" t="n">
        <x:f>Source!K28</x:f>
        <x:v>28.8</x:v>
      </x:c>
      <x:c r="M41" s="8" t="n">
        <x:f>Source!L28</x:f>
        <x:v>27.6</x:v>
      </x:c>
      <x:c r="N41" s="8" t="n">
        <x:f>Source!M28</x:f>
        <x:v>31.2</x:v>
      </x:c>
      <x:c r="O41" s="8" t="n">
        <x:f>Source!N28</x:f>
        <x:v>32.4</x:v>
      </x:c>
      <x:c r="P41" s="20" t="n">
        <x:f>P20</x:f>
        <x:v>13.877226465669047</x:v>
      </x:c>
      <x:c r="Q41" s="20" t="n">
        <x:f>Q20</x:f>
        <x:v>13.213133406690165</x:v>
      </x:c>
      <x:c r="R41" s="20" t="n">
        <x:f>R20</x:f>
        <x:v>15.879568785211275</x:v>
      </x:c>
      <x:c r="S41" s="20" t="n">
        <x:f>S20</x:f>
        <x:v>17.261565101232396</x:v>
      </x:c>
      <x:c r="T41" s="20" t="n">
        <x:f>T20</x:f>
        <x:v>25.26142542819104</x:v>
      </x:c>
      <x:c r="U41" s="20" t="n">
        <x:f>U20</x:f>
        <x:v>24.163063248899675</x:v>
      </x:c>
      <x:c r="V41" s="20" t="n">
        <x:f>V20</x:f>
        <x:v>28.331385380545818</x:v>
      </x:c>
      <x:c r="W41" s="20" t="n">
        <x:f>W20</x:f>
        <x:v>30.472170410629424</x:v>
      </x:c>
      <x:c r="X41" s="20" t="n">
        <x:f>X20</x:f>
        <x:v>38.797870056338034</x:v>
      </x:c>
      <x:c r="Y41" s="20" t="n">
        <x:f>Y20</x:f>
        <x:v>37.181770309859175</x:v>
      </x:c>
      <x:c r="Z41" s="20" t="n">
        <x:f>Z20</x:f>
        <x:v>43.140952563380296</x:v>
      </x:c>
      <x:c r="AA41" s="20" t="n">
        <x:f>AA20</x:f>
        <x:v>46.18656481690142</x:v>
      </x:c>
    </x:row>
    <x:row r="42" ht="21" customHeight="1">
      <x:c r="C42" s="1" t="str">
        <x:v>Reported / modelled noncash add-back</x:v>
      </x:c>
      <x:c r="D42" s="2" t="n">
        <x:v>0</x:v>
      </x:c>
      <x:c r="E42" s="2" t="n">
        <x:v>0</x:v>
      </x:c>
      <x:c r="F42" s="2" t="n">
        <x:v>0</x:v>
      </x:c>
      <x:c r="G42" s="2" t="n">
        <x:v>0</x:v>
      </x:c>
      <x:c r="H42" s="2" t="n">
        <x:v>0</x:v>
      </x:c>
      <x:c r="I42" s="2" t="n">
        <x:v>0</x:v>
      </x:c>
      <x:c r="J42" s="2" t="n">
        <x:v>0</x:v>
      </x:c>
      <x:c r="K42" s="2" t="n">
        <x:v>0</x:v>
      </x:c>
      <x:c r="L42" s="2" t="n">
        <x:v>0</x:v>
      </x:c>
      <x:c r="M42" s="2" t="n">
        <x:v>0</x:v>
      </x:c>
      <x:c r="N42" s="2" t="n">
        <x:v>0</x:v>
      </x:c>
      <x:c r="O42" s="2" t="n">
        <x:v>0</x:v>
      </x:c>
      <x:c r="P42" s="20" t="n">
        <x:f>P15</x:f>
        <x:v>15.309145833333334</x:v>
      </x:c>
      <x:c r="Q42" s="20" t="n">
        <x:f>Q15</x:f>
        <x:v>15.914375</x:v>
      </x:c>
      <x:c r="R42" s="20" t="n">
        <x:f>R15</x:f>
        <x:v>16.550083333333333</x:v>
      </x:c>
      <x:c r="S42" s="20" t="n">
        <x:f>S15</x:f>
        <x:v>17.251104166666668</x:v>
      </x:c>
      <x:c r="T42" s="20" t="n">
        <x:f>T15</x:f>
        <x:v>17.949468958333334</x:v>
      </x:c>
      <x:c r="U42" s="20" t="n">
        <x:f>U15</x:f>
        <x:v>18.60916875</x:v>
      </x:c>
      <x:c r="V42" s="20" t="n">
        <x:f>V15</x:f>
        <x:v>19.302090833333335</x:v>
      </x:c>
      <x:c r="W42" s="20" t="n">
        <x:f>W15</x:f>
        <x:v>20.066203541666667</x:v>
      </x:c>
      <x:c r="X42" s="20" t="n">
        <x:f>X15</x:f>
        <x:v>20.824051475</x:v>
      </x:c>
      <x:c r="Y42" s="20" t="n">
        <x:f>Y15</x:f>
        <x:v>21.536527250000002</x:v>
      </x:c>
      <x:c r="Z42" s="20" t="n">
        <x:f>Z15</x:f>
        <x:v>22.284883100000002</x:v>
      </x:c>
      <x:c r="AA42" s="20" t="n">
        <x:f>AA15</x:f>
        <x:v>23.110124825</x:v>
      </x:c>
    </x:row>
    <x:row r="43" ht="21" customHeight="1">
      <x:c r="C43" s="1" t="str">
        <x:v>Cash effect of receivables</x:v>
      </x:c>
      <x:c r="D43" s="8" t="n">
        <x:f>Source!C29</x:f>
        <x:v>-1.5</x:v>
      </x:c>
      <x:c r="E43" s="8" t="n">
        <x:f>Source!D29</x:f>
        <x:v>-6.6</x:v>
      </x:c>
      <x:c r="F43" s="8" t="n">
        <x:f>Source!E29</x:f>
        <x:v>-3.3</x:v>
      </x:c>
      <x:c r="G43" s="8" t="n">
        <x:f>Source!F29</x:f>
        <x:v>-6.6</x:v>
      </x:c>
      <x:c r="H43" s="8" t="n">
        <x:f>Source!G29</x:f>
        <x:v>-1.8</x:v>
      </x:c>
      <x:c r="I43" s="8" t="n">
        <x:f>Source!H29</x:f>
        <x:v>-7.8</x:v>
      </x:c>
      <x:c r="J43" s="8" t="n">
        <x:f>Source!I29</x:f>
        <x:v>-3.9</x:v>
      </x:c>
      <x:c r="K43" s="8" t="n">
        <x:f>Source!J29</x:f>
        <x:v>-6.5</x:v>
      </x:c>
      <x:c r="L43" s="8" t="n">
        <x:f>Source!K29</x:f>
        <x:v>4</x:v>
      </x:c>
      <x:c r="M43" s="8" t="n">
        <x:f>Source!L29</x:f>
        <x:v>-10.5</x:v>
      </x:c>
      <x:c r="N43" s="8" t="n">
        <x:f>Source!M29</x:f>
        <x:v>-6</x:v>
      </x:c>
      <x:c r="O43" s="8" t="n">
        <x:f>Source!N29</x:f>
        <x:v>-7.5</x:v>
      </x:c>
      <x:c r="P43" s="20" t="n">
        <x:f>O24-P24</x:f>
        <x:v>24.015831501831485</x:v>
      </x:c>
      <x:c r="Q43" s="20" t="n">
        <x:f>P24-Q24</x:f>
        <x:v>-9.04232795031055</x:v>
      </x:c>
      <x:c r="R43" s="20" t="n">
        <x:f>Q24-R24</x:f>
        <x:v>-9.528807899347015</x:v>
      </x:c>
      <x:c r="S43" s="20" t="n">
        <x:f>R24-S24</x:f>
        <x:v>-11.032539452495968</x:v>
      </x:c>
      <x:c r="T43" s="20" t="n">
        <x:f>S24-T24</x:f>
        <x:v>10.244264466988682</x:v>
      </x:c>
      <x:c r="U43" s="20" t="n">
        <x:f>T24-U24</x:f>
        <x:v>-10.217256253862075</x:v>
      </x:c>
      <x:c r="V43" s="20" t="n">
        <x:f>U24-V24</x:f>
        <x:v>-10.172796559543713</x:v>
      </x:c>
      <x:c r="W43" s="20" t="n">
        <x:f>V24-W24</x:f>
        <x:v>-12.82321268568839</x:v>
      </x:c>
      <x:c r="X43" s="20" t="n">
        <x:f>W24-X24</x:f>
        <x:v>17.663034832427513</x:v>
      </x:c>
      <x:c r="Y43" s="20" t="n">
        <x:f>X24-Y24</x:f>
        <x:v>-13.301080434782591</x:v>
      </x:c>
      <x:c r="Z43" s="20" t="n">
        <x:f>Y24-Z24</x:f>
        <x:v>-10.331209565217392</x:v>
      </x:c>
      <x:c r="AA43" s="20" t="n">
        <x:f>Z24-AA24</x:f>
        <x:v>-14.507900000000006</x:v>
      </x:c>
    </x:row>
    <x:row r="44" ht="21" customHeight="1">
      <x:c r="C44" s="1" t="str">
        <x:v>Cash effect of inventory</x:v>
      </x:c>
      <x:c r="D44" s="8" t="n">
        <x:f>Source!C30</x:f>
        <x:v>-7.5</x:v>
      </x:c>
      <x:c r="E44" s="8" t="n">
        <x:f>Source!D30</x:f>
        <x:v>-9</x:v>
      </x:c>
      <x:c r="F44" s="8" t="n">
        <x:f>Source!E30</x:f>
        <x:v>-4.5</x:v>
      </x:c>
      <x:c r="G44" s="8" t="n">
        <x:f>Source!F30</x:f>
        <x:v>-9</x:v>
      </x:c>
      <x:c r="H44" s="8" t="n">
        <x:f>Source!G30</x:f>
        <x:v>-4.8</x:v>
      </x:c>
      <x:c r="I44" s="8" t="n">
        <x:f>Source!H30</x:f>
        <x:v>-10.8</x:v>
      </x:c>
      <x:c r="J44" s="8" t="n">
        <x:f>Source!I30</x:f>
        <x:v>-5.4</x:v>
      </x:c>
      <x:c r="K44" s="8" t="n">
        <x:f>Source!J30</x:f>
        <x:v>-9</x:v>
      </x:c>
      <x:c r="L44" s="8" t="n">
        <x:f>Source!K30</x:f>
        <x:v>12</x:v>
      </x:c>
      <x:c r="M44" s="8" t="n">
        <x:f>Source!L30</x:f>
        <x:v>-14</x:v>
      </x:c>
      <x:c r="N44" s="8" t="n">
        <x:f>Source!M30</x:f>
        <x:v>-8</x:v>
      </x:c>
      <x:c r="O44" s="8" t="n">
        <x:f>Source!N30</x:f>
        <x:v>-10</x:v>
      </x:c>
      <x:c r="P44" s="20" t="n">
        <x:f>O25-P25</x:f>
        <x:v>23.202197802197816</x:v>
      </x:c>
      <x:c r="Q44" s="20" t="n">
        <x:f>P25-Q25</x:f>
        <x:v>-12.276203217072748</x:v>
      </x:c>
      <x:c r="R44" s="20" t="n">
        <x:f>Q25-R25</x:f>
        <x:v>-13.565125019907669</x:v>
      </x:c>
      <x:c r="S44" s="20" t="n">
        <x:f>R25-S25</x:f>
        <x:v>-15.417418142780463</x:v>
      </x:c>
      <x:c r="T44" s="20" t="n">
        <x:f>S25-T25</x:f>
        <x:v>19.06751107756307</x:v>
      </x:c>
      <x:c r="U44" s="20" t="n">
        <x:f>T25-U25</x:f>
        <x:v>-13.71190120043002</x:v>
      </x:c>
      <x:c r="V44" s="20" t="n">
        <x:f>U25-V25</x:f>
        <x:v>-14.056678147396127</x:v>
      </x:c>
      <x:c r="W44" s="20" t="n">
        <x:f>V25-W25</x:f>
        <x:v>-17.51274894323666</x:v>
      </x:c>
      <x:c r="X44" s="20" t="n">
        <x:f>W25-X25</x:f>
        <x:v>29.745285791062827</x:v>
      </x:c>
      <x:c r="Y44" s="20" t="n">
        <x:f>X25-Y25</x:f>
        <x:v>-17.73477391304351</x:v>
      </x:c>
      <x:c r="Z44" s="20" t="n">
        <x:f>Y25-Z25</x:f>
        <x:v>-13.774946086956561</x:v>
      </x:c>
      <x:c r="AA44" s="20" t="n">
        <x:f>Z25-AA25</x:f>
        <x:v>-19.343866666666628</x:v>
      </x:c>
    </x:row>
    <x:row r="45" ht="21" customHeight="1">
      <x:c r="C45" s="1" t="str">
        <x:v>Cash effect of payables</x:v>
      </x:c>
      <x:c r="D45" s="8" t="n">
        <x:f>Source!C31</x:f>
        <x:v>24.8</x:v>
      </x:c>
      <x:c r="E45" s="8" t="n">
        <x:f>Source!D31</x:f>
        <x:v>4.8</x:v>
      </x:c>
      <x:c r="F45" s="8" t="n">
        <x:f>Source!E31</x:f>
        <x:v>-2.4</x:v>
      </x:c>
      <x:c r="G45" s="8" t="n">
        <x:f>Source!F31</x:f>
        <x:v>0.8</x:v>
      </x:c>
      <x:c r="H45" s="8" t="n">
        <x:f>Source!G31</x:f>
        <x:v>22</x:v>
      </x:c>
      <x:c r="I45" s="8" t="n">
        <x:f>Source!H31</x:f>
        <x:v>-4</x:v>
      </x:c>
      <x:c r="J45" s="8" t="n">
        <x:f>Source!I31</x:f>
        <x:v>3</x:v>
      </x:c>
      <x:c r="K45" s="8" t="n">
        <x:f>Source!J31</x:f>
        <x:v>-1</x:v>
      </x:c>
      <x:c r="L45" s="8" t="n">
        <x:f>Source!K31</x:f>
        <x:v>18.8</x:v>
      </x:c>
      <x:c r="M45" s="8" t="n">
        <x:f>Source!L31</x:f>
        <x:v>-2.4</x:v>
      </x:c>
      <x:c r="N45" s="8" t="n">
        <x:f>Source!M31</x:f>
        <x:v>1.2</x:v>
      </x:c>
      <x:c r="O45" s="8" t="n">
        <x:f>Source!N31</x:f>
        <x:v>2.4</x:v>
      </x:c>
      <x:c r="P45" s="20" t="n">
        <x:f>P30-O30</x:f>
        <x:v>-18.04087912087914</x:v>
      </x:c>
      <x:c r="Q45" s="20" t="n">
        <x:f>Q30-P30</x:f>
        <x:v>-1.011642618251301</x:v>
      </x:c>
      <x:c r="R45" s="20" t="n">
        <x:f>R30-Q30</x:f>
        <x:v>2.5405217391304262</x:v>
      </x:c>
      <x:c r="S45" s="20" t="n">
        <x:f>S30-R30</x:f>
        <x:v>4.719407407407417</x:v>
      </x:c>
      <x:c r="T45" s="20" t="n">
        <x:f>T30-S30</x:f>
        <x:v>18.209157592592604</x:v>
      </x:c>
      <x:c r="U45" s="20" t="n">
        <x:f>U30-T30</x:f>
        <x:v>-2.6297197826086887</x:v>
      </x:c>
      <x:c r="V45" s="20" t="n">
        <x:f>V30-U30</x:f>
        <x:v>3.1153147826087064</x:v>
      </x:c>
      <x:c r="W45" s="20" t="n">
        <x:f>W30-V30</x:f>
        <x:v>5.7871733333332855</x:v>
      </x:c>
      <x:c r="X45" s="20" t="n">
        <x:f>X30-W30</x:f>
        <x:v>19.010544666666675</x:v>
      </x:c>
      <x:c r="Y45" s="20" t="n">
        <x:f>Y30-X30</x:f>
        <x:v>-3.1556637391304037</x:v>
      </x:c>
      <x:c r="Z45" s="20" t="n">
        <x:f>Z30-Y30</x:f>
        <x:v>3.7383777391304136</x:v>
      </x:c>
      <x:c r="AA45" s="20" t="n">
        <x:f>AA30-Z30</x:f>
        <x:v>6.9446080000000165</x:v>
      </x:c>
    </x:row>
    <x:row r="46" ht="21" customHeight="1">
      <x:c r="C46" s="27" t="str">
        <x:v>Cash from operations</x:v>
      </x:c>
      <x:c r="D46" s="28" t="n">
        <x:f>Source!C32</x:f>
        <x:v>36.2</x:v>
      </x:c>
      <x:c r="E46" s="28" t="n">
        <x:f>Source!D32</x:f>
        <x:v>7.9</x:v>
      </x:c>
      <x:c r="F46" s="28" t="n">
        <x:f>Source!E32</x:f>
        <x:v>11.9</x:v>
      </x:c>
      <x:c r="G46" s="28" t="n">
        <x:f>Source!F32</x:f>
        <x:v>9</x:v>
      </x:c>
      <x:c r="H46" s="28" t="n">
        <x:f>Source!G32</x:f>
        <x:v>39.32</x:v>
      </x:c>
      <x:c r="I46" s="28" t="n">
        <x:f>Source!H32</x:f>
        <x:v>1.32</x:v>
      </x:c>
      <x:c r="J46" s="28" t="n">
        <x:f>Source!I32</x:f>
        <x:v>20.74</x:v>
      </x:c>
      <x:c r="K46" s="28" t="n">
        <x:f>Source!J32</x:f>
        <x:v>12.62</x:v>
      </x:c>
      <x:c r="L46" s="28" t="n">
        <x:f>Source!K32</x:f>
        <x:v>63.6</x:v>
      </x:c>
      <x:c r="M46" s="28" t="n">
        <x:f>Source!L32</x:f>
        <x:v>0.7</x:v>
      </x:c>
      <x:c r="N46" s="28" t="n">
        <x:f>Source!M32</x:f>
        <x:v>18.4</x:v>
      </x:c>
      <x:c r="O46" s="28" t="n">
        <x:f>Source!N32</x:f>
        <x:v>17.3</x:v>
      </x:c>
      <x:c r="P46" s="29" t="n">
        <x:f>SUM(P41:P45)</x:f>
        <x:v>58.36352248215255</x:v>
      </x:c>
      <x:c r="Q46" s="29" t="n">
        <x:f>SUM(Q41:Q45)</x:f>
        <x:v>6.797334621055565</x:v>
      </x:c>
      <x:c r="R46" s="29" t="n">
        <x:f>SUM(R41:R45)</x:f>
        <x:v>11.876240938420352</x:v>
      </x:c>
      <x:c r="S46" s="29" t="n">
        <x:f>SUM(S41:S45)</x:f>
        <x:v>12.78211908003005</x:v>
      </x:c>
      <x:c r="T46" s="29" t="n">
        <x:f>SUM(T41:T45)</x:f>
        <x:v>90.73182752366873</x:v>
      </x:c>
      <x:c r="U46" s="29" t="n">
        <x:f>SUM(U41:U45)</x:f>
        <x:v>16.213354761998886</x:v>
      </x:c>
      <x:c r="V46" s="29" t="n">
        <x:f>SUM(V41:V45)</x:f>
        <x:v>26.519316289548016</x:v>
      </x:c>
      <x:c r="W46" s="29" t="n">
        <x:f>SUM(W41:W45)</x:f>
        <x:v>25.989585656704328</x:v>
      </x:c>
      <x:c r="X46" s="29" t="n">
        <x:f>SUM(X41:X45)</x:f>
        <x:v>126.04078682149505</x:v>
      </x:c>
      <x:c r="Y46" s="29" t="n">
        <x:f>SUM(Y41:Y45)</x:f>
        <x:v>24.526779472902675</x:v>
      </x:c>
      <x:c r="Z46" s="29" t="n">
        <x:f>SUM(Z41:Z45)</x:f>
        <x:v>45.05805775033676</x:v>
      </x:c>
      <x:c r="AA46" s="29" t="n">
        <x:f>SUM(AA41:AA45)</x:f>
        <x:v>42.389530975234806</x:v>
      </x:c>
    </x:row>
    <x:row r="47" ht="21" customHeight="1">
      <x:c r="C47" s="1" t="str">
        <x:v>Net PP&amp;E investing cash flow</x:v>
      </x:c>
      <x:c r="D47" s="8" t="n">
        <x:f>Source!C33</x:f>
        <x:v>-5</x:v>
      </x:c>
      <x:c r="E47" s="8" t="n">
        <x:f>Source!D33</x:f>
        <x:v>-30</x:v>
      </x:c>
      <x:c r="F47" s="8" t="n">
        <x:f>Source!E33</x:f>
        <x:v>-15</x:v>
      </x:c>
      <x:c r="G47" s="8" t="n">
        <x:f>Source!F33</x:f>
        <x:v>-30</x:v>
      </x:c>
      <x:c r="H47" s="8" t="n">
        <x:f>Source!G33</x:f>
        <x:v>27</x:v>
      </x:c>
      <x:c r="I47" s="8" t="n">
        <x:f>Source!H33</x:f>
        <x:v>-33</x:v>
      </x:c>
      <x:c r="J47" s="8" t="n">
        <x:f>Source!I33</x:f>
        <x:v>-16.5</x:v>
      </x:c>
      <x:c r="K47" s="8" t="n">
        <x:f>Source!J33</x:f>
        <x:v>-27.5</x:v>
      </x:c>
      <x:c r="L47" s="8" t="n">
        <x:f>Source!K33</x:f>
        <x:v>46</x:v>
      </x:c>
      <x:c r="M47" s="8" t="n">
        <x:f>Source!L33</x:f>
        <x:v>-42</x:v>
      </x:c>
      <x:c r="N47" s="8" t="n">
        <x:f>Source!M33</x:f>
        <x:v>-24</x:v>
      </x:c>
      <x:c r="O47" s="8" t="n">
        <x:f>Source!N33</x:f>
        <x:v>-30</x:v>
      </x:c>
      <x:c r="P47" s="20" t="n">
        <x:f>-P59</x:f>
        <x:v>-24.73166666666667</x:v>
      </x:c>
      <x:c r="Q47" s="20" t="n">
        <x:f>-Q59</x:f>
        <x:v>-23.686666666666667</x:v>
      </x:c>
      <x:c r="R47" s="20" t="n">
        <x:f>-R59</x:f>
        <x:v>-27.17</x:v>
      </x:c>
      <x:c r="S47" s="20" t="n">
        <x:f>-S59</x:f>
        <x:v>-28.91166666666667</x:v>
      </x:c>
      <x:c r="T47" s="20" t="n">
        <x:f>-T59</x:f>
        <x:v>-26.95751666666667</x:v>
      </x:c>
      <x:c r="U47" s="20" t="n">
        <x:f>-U59</x:f>
        <x:v>-25.818466666666673</x:v>
      </x:c>
      <x:c r="V47" s="20" t="n">
        <x:f>-V59</x:f>
        <x:v>-29.61530000000001</x:v>
      </x:c>
      <x:c r="W47" s="20" t="n">
        <x:f>-W59</x:f>
        <x:v>-31.51371666666667</x:v>
      </x:c>
      <x:c r="X47" s="20" t="n">
        <x:f>-X59</x:f>
        <x:v>-29.114118000000005</x:v>
      </x:c>
      <x:c r="Y47" s="20" t="n">
        <x:f>-Y59</x:f>
        <x:v>-27.883944000000003</x:v>
      </x:c>
      <x:c r="Z47" s="20" t="n">
        <x:f>-Z59</x:f>
        <x:v>-31.984524000000008</x:v>
      </x:c>
      <x:c r="AA47" s="20" t="n">
        <x:f>-AA59</x:f>
        <x:v>-34.034814000000004</x:v>
      </x:c>
    </x:row>
    <x:row r="48" ht="21" customHeight="1">
      <x:c r="C48" s="27" t="str">
        <x:v>Cash from investing</x:v>
      </x:c>
      <x:c r="D48" s="28" t="n">
        <x:f>Source!C34</x:f>
        <x:v>-5</x:v>
      </x:c>
      <x:c r="E48" s="28" t="n">
        <x:f>Source!D34</x:f>
        <x:v>-30</x:v>
      </x:c>
      <x:c r="F48" s="28" t="n">
        <x:f>Source!E34</x:f>
        <x:v>-15</x:v>
      </x:c>
      <x:c r="G48" s="28" t="n">
        <x:f>Source!F34</x:f>
        <x:v>-30</x:v>
      </x:c>
      <x:c r="H48" s="28" t="n">
        <x:f>Source!G34</x:f>
        <x:v>27</x:v>
      </x:c>
      <x:c r="I48" s="28" t="n">
        <x:f>Source!H34</x:f>
        <x:v>-33</x:v>
      </x:c>
      <x:c r="J48" s="28" t="n">
        <x:f>Source!I34</x:f>
        <x:v>-16.5</x:v>
      </x:c>
      <x:c r="K48" s="28" t="n">
        <x:f>Source!J34</x:f>
        <x:v>-27.5</x:v>
      </x:c>
      <x:c r="L48" s="28" t="n">
        <x:f>Source!K34</x:f>
        <x:v>46</x:v>
      </x:c>
      <x:c r="M48" s="28" t="n">
        <x:f>Source!L34</x:f>
        <x:v>-42</x:v>
      </x:c>
      <x:c r="N48" s="28" t="n">
        <x:f>Source!M34</x:f>
        <x:v>-24</x:v>
      </x:c>
      <x:c r="O48" s="28" t="n">
        <x:f>Source!N34</x:f>
        <x:v>-30</x:v>
      </x:c>
      <x:c r="P48" s="29" t="n">
        <x:f>P47</x:f>
        <x:v>-24.73166666666667</x:v>
      </x:c>
      <x:c r="Q48" s="29" t="n">
        <x:f>Q47</x:f>
        <x:v>-23.686666666666667</x:v>
      </x:c>
      <x:c r="R48" s="29" t="n">
        <x:f>R47</x:f>
        <x:v>-27.17</x:v>
      </x:c>
      <x:c r="S48" s="29" t="n">
        <x:f>S47</x:f>
        <x:v>-28.91166666666667</x:v>
      </x:c>
      <x:c r="T48" s="29" t="n">
        <x:f>T47</x:f>
        <x:v>-26.95751666666667</x:v>
      </x:c>
      <x:c r="U48" s="29" t="n">
        <x:f>U47</x:f>
        <x:v>-25.818466666666673</x:v>
      </x:c>
      <x:c r="V48" s="29" t="n">
        <x:f>V47</x:f>
        <x:v>-29.61530000000001</x:v>
      </x:c>
      <x:c r="W48" s="29" t="n">
        <x:f>W47</x:f>
        <x:v>-31.51371666666667</x:v>
      </x:c>
      <x:c r="X48" s="29" t="n">
        <x:f>X47</x:f>
        <x:v>-29.114118000000005</x:v>
      </x:c>
      <x:c r="Y48" s="29" t="n">
        <x:f>Y47</x:f>
        <x:v>-27.883944000000003</x:v>
      </x:c>
      <x:c r="Z48" s="29" t="n">
        <x:f>Z47</x:f>
        <x:v>-31.984524000000008</x:v>
      </x:c>
      <x:c r="AA48" s="29" t="n">
        <x:f>AA47</x:f>
        <x:v>-34.034814000000004</x:v>
      </x:c>
    </x:row>
    <x:row r="49" ht="21" customHeight="1">
      <x:c r="C49" s="1" t="str">
        <x:v>Net cash borrowing / repayment</x:v>
      </x:c>
      <x:c r="D49" s="8" t="n">
        <x:f>Source!C35+Source!C36</x:f>
        <x:v>-2</x:v>
      </x:c>
      <x:c r="E49" s="8" t="n">
        <x:f>Source!D35+Source!D36</x:f>
        <x:v>-0.07499999999999996</x:v>
      </x:c>
      <x:c r="F49" s="8" t="n">
        <x:f>Source!E35+Source!E36</x:f>
        <x:v>-0.50625</x:v>
      </x:c>
      <x:c r="G49" s="8" t="n">
        <x:f>Source!F35+Source!F36</x:f>
        <x:v>-2.41875</x:v>
      </x:c>
      <x:c r="H49" s="8" t="n">
        <x:f>Source!G35+Source!G36</x:f>
        <x:v>-3.0999999999999996</x:v>
      </x:c>
      <x:c r="I49" s="8" t="n">
        <x:f>Source!H35+Source!H36</x:f>
        <x:v>-3.225</x:v>
      </x:c>
      <x:c r="J49" s="8" t="n">
        <x:f>Source!I35+Source!I36</x:f>
        <x:v>-3.01875</x:v>
      </x:c>
      <x:c r="K49" s="8" t="n">
        <x:f>Source!J35+Source!J36</x:f>
        <x:v>-10.65625</x:v>
      </x:c>
      <x:c r="L49" s="8" t="n">
        <x:f>Source!K35+Source!K36</x:f>
        <x:v>-3</x:v>
      </x:c>
      <x:c r="M49" s="8" t="n">
        <x:f>Source!L35+Source!L36</x:f>
        <x:v>-0.25</x:v>
      </x:c>
      <x:c r="N49" s="8" t="n">
        <x:f>Source!M35+Source!M36</x:f>
        <x:v>-0.8125</x:v>
      </x:c>
      <x:c r="O49" s="8" t="n">
        <x:f>Source!N35+Source!N36</x:f>
        <x:v>-5.9375</x:v>
      </x:c>
      <x:c r="P49" s="20" t="n">
        <x:f>P65-P64</x:f>
        <x:v>-12.5</x:v>
      </x:c>
      <x:c r="Q49" s="20" t="n">
        <x:f>Q65-Q64</x:f>
        <x:v>-12.5</x:v>
      </x:c>
      <x:c r="R49" s="20" t="n">
        <x:f>R65-R64</x:f>
        <x:v>-12.5</x:v>
      </x:c>
      <x:c r="S49" s="20" t="n">
        <x:f>S65-S64</x:f>
        <x:v>-12.5</x:v>
      </x:c>
      <x:c r="T49" s="20" t="n">
        <x:f>T65-T64</x:f>
        <x:v>-12.5</x:v>
      </x:c>
      <x:c r="U49" s="20" t="n">
        <x:f>U65-U64</x:f>
        <x:v>-12.5</x:v>
      </x:c>
      <x:c r="V49" s="20" t="n">
        <x:f>V65-V64</x:f>
        <x:v>-12.5</x:v>
      </x:c>
      <x:c r="W49" s="20" t="n">
        <x:f>W65-W64</x:f>
        <x:v>-12.5</x:v>
      </x:c>
      <x:c r="X49" s="20" t="n">
        <x:f>X65-X64</x:f>
        <x:v>-12.5</x:v>
      </x:c>
      <x:c r="Y49" s="20" t="n">
        <x:f>Y65-Y64</x:f>
        <x:v>-12.5</x:v>
      </x:c>
      <x:c r="Z49" s="20" t="n">
        <x:f>Z65-Z64</x:f>
        <x:v>-12.5</x:v>
      </x:c>
      <x:c r="AA49" s="20" t="n">
        <x:f>AA65-AA64</x:f>
        <x:v>-12.5</x:v>
      </x:c>
    </x:row>
    <x:row r="50" ht="21" customHeight="1">
      <x:c r="C50" s="1" t="str">
        <x:v>Net cash equity financing</x:v>
      </x:c>
      <x:c r="D50" s="8" t="n">
        <x:f>Source!C37</x:f>
        <x:v>0</x:v>
      </x:c>
      <x:c r="E50" s="8" t="n">
        <x:f>Source!D37</x:f>
        <x:v>26</x:v>
      </x:c>
      <x:c r="F50" s="8" t="n">
        <x:f>Source!E37</x:f>
        <x:v>5</x:v>
      </x:c>
      <x:c r="G50" s="8" t="n">
        <x:f>Source!F37</x:f>
        <x:v>27</x:v>
      </x:c>
      <x:c r="H50" s="8" t="n">
        <x:f>Source!G37</x:f>
        <x:v>-55</x:v>
      </x:c>
      <x:c r="I50" s="8" t="n">
        <x:f>Source!H37</x:f>
        <x:v>64</x:v>
      </x:c>
      <x:c r="J50" s="8" t="n">
        <x:f>Source!I37</x:f>
        <x:v>1</x:v>
      </x:c>
      <x:c r="K50" s="8" t="n">
        <x:f>Source!J37</x:f>
        <x:v>57</x:v>
      </x:c>
      <x:c r="L50" s="8" t="n">
        <x:f>Source!K37</x:f>
        <x:v>-103</x:v>
      </x:c>
      <x:c r="M50" s="8" t="n">
        <x:f>Source!L37</x:f>
        <x:v>78</x:v>
      </x:c>
      <x:c r="N50" s="8" t="n">
        <x:f>Source!M37</x:f>
        <x:v>9</x:v>
      </x:c>
      <x:c r="O50" s="8" t="n">
        <x:f>Source!N37</x:f>
        <x:v>56</x:v>
      </x:c>
      <x:c r="P50" s="8" t="n">
        <x:f>Assumptions!D14/4</x:f>
        <x:v>0</x:v>
      </x:c>
      <x:c r="Q50" s="8" t="n">
        <x:f>Assumptions!D14/4</x:f>
        <x:v>0</x:v>
      </x:c>
      <x:c r="R50" s="8" t="n">
        <x:f>Assumptions!D14/4</x:f>
        <x:v>0</x:v>
      </x:c>
      <x:c r="S50" s="8" t="n">
        <x:f>Assumptions!D14/4</x:f>
        <x:v>0</x:v>
      </x:c>
      <x:c r="T50" s="8" t="n">
        <x:f>Assumptions!E14/4</x:f>
        <x:v>0</x:v>
      </x:c>
      <x:c r="U50" s="8" t="n">
        <x:f>Assumptions!E14/4</x:f>
        <x:v>0</x:v>
      </x:c>
      <x:c r="V50" s="8" t="n">
        <x:f>Assumptions!E14/4</x:f>
        <x:v>0</x:v>
      </x:c>
      <x:c r="W50" s="8" t="n">
        <x:f>Assumptions!E14/4</x:f>
        <x:v>0</x:v>
      </x:c>
      <x:c r="X50" s="8" t="n">
        <x:f>Assumptions!F14/4</x:f>
        <x:v>0</x:v>
      </x:c>
      <x:c r="Y50" s="8" t="n">
        <x:f>Assumptions!F14/4</x:f>
        <x:v>0</x:v>
      </x:c>
      <x:c r="Z50" s="8" t="n">
        <x:f>Assumptions!F14/4</x:f>
        <x:v>0</x:v>
      </x:c>
      <x:c r="AA50" s="8" t="n">
        <x:f>Assumptions!F14/4</x:f>
        <x:v>0</x:v>
      </x:c>
    </x:row>
    <x:row r="51" ht="21" customHeight="1">
      <x:c r="C51" s="1" t="str">
        <x:v>Cash dividends paid</x:v>
      </x:c>
      <x:c r="D51" s="2" t="n">
        <x:v>0</x:v>
      </x:c>
      <x:c r="E51" s="2" t="n">
        <x:v>0</x:v>
      </x:c>
      <x:c r="F51" s="2" t="n">
        <x:v>0</x:v>
      </x:c>
      <x:c r="G51" s="2" t="n">
        <x:v>0</x:v>
      </x:c>
      <x:c r="H51" s="2" t="n">
        <x:v>0</x:v>
      </x:c>
      <x:c r="I51" s="2" t="n">
        <x:v>0</x:v>
      </x:c>
      <x:c r="J51" s="2" t="n">
        <x:v>0</x:v>
      </x:c>
      <x:c r="K51" s="2" t="n">
        <x:v>0</x:v>
      </x:c>
      <x:c r="L51" s="2" t="n">
        <x:v>0</x:v>
      </x:c>
      <x:c r="M51" s="2" t="n">
        <x:v>0</x:v>
      </x:c>
      <x:c r="N51" s="2" t="n">
        <x:v>0</x:v>
      </x:c>
      <x:c r="O51" s="2" t="n">
        <x:v>0</x:v>
      </x:c>
      <x:c r="P51" s="8" t="n">
        <x:f>-Assumptions!D15/4</x:f>
        <x:v>0</x:v>
      </x:c>
      <x:c r="Q51" s="8" t="n">
        <x:f>-Assumptions!D15/4</x:f>
        <x:v>0</x:v>
      </x:c>
      <x:c r="R51" s="8" t="n">
        <x:f>-Assumptions!D15/4</x:f>
        <x:v>0</x:v>
      </x:c>
      <x:c r="S51" s="8" t="n">
        <x:f>-Assumptions!D15/4</x:f>
        <x:v>0</x:v>
      </x:c>
      <x:c r="T51" s="8" t="n">
        <x:f>-Assumptions!E15/4</x:f>
        <x:v>0</x:v>
      </x:c>
      <x:c r="U51" s="8" t="n">
        <x:f>-Assumptions!E15/4</x:f>
        <x:v>0</x:v>
      </x:c>
      <x:c r="V51" s="8" t="n">
        <x:f>-Assumptions!E15/4</x:f>
        <x:v>0</x:v>
      </x:c>
      <x:c r="W51" s="8" t="n">
        <x:f>-Assumptions!E15/4</x:f>
        <x:v>0</x:v>
      </x:c>
      <x:c r="X51" s="8" t="n">
        <x:f>-Assumptions!F15/4</x:f>
        <x:v>0</x:v>
      </x:c>
      <x:c r="Y51" s="8" t="n">
        <x:f>-Assumptions!F15/4</x:f>
        <x:v>0</x:v>
      </x:c>
      <x:c r="Z51" s="8" t="n">
        <x:f>-Assumptions!F15/4</x:f>
        <x:v>0</x:v>
      </x:c>
      <x:c r="AA51" s="8" t="n">
        <x:f>-Assumptions!F15/4</x:f>
        <x:v>0</x:v>
      </x:c>
    </x:row>
    <x:row r="52" ht="21" customHeight="1">
      <x:c r="C52" s="27" t="str">
        <x:v>Cash from financing</x:v>
      </x:c>
      <x:c r="D52" s="28" t="n">
        <x:f>Source!C38</x:f>
        <x:v>-2</x:v>
      </x:c>
      <x:c r="E52" s="28" t="n">
        <x:f>Source!D38</x:f>
        <x:v>25.925</x:v>
      </x:c>
      <x:c r="F52" s="28" t="n">
        <x:f>Source!E38</x:f>
        <x:v>4.49375</x:v>
      </x:c>
      <x:c r="G52" s="28" t="n">
        <x:f>Source!F38</x:f>
        <x:v>24.58125</x:v>
      </x:c>
      <x:c r="H52" s="28" t="n">
        <x:f>Source!G38</x:f>
        <x:v>-58.1</x:v>
      </x:c>
      <x:c r="I52" s="28" t="n">
        <x:f>Source!H38</x:f>
        <x:v>60.775</x:v>
      </x:c>
      <x:c r="J52" s="28" t="n">
        <x:f>Source!I38</x:f>
        <x:v>-2.01875</x:v>
      </x:c>
      <x:c r="K52" s="28" t="n">
        <x:f>Source!J38</x:f>
        <x:v>46.34375</x:v>
      </x:c>
      <x:c r="L52" s="28" t="n">
        <x:f>Source!K38</x:f>
        <x:v>-106</x:v>
      </x:c>
      <x:c r="M52" s="28" t="n">
        <x:f>Source!L38</x:f>
        <x:v>77.75</x:v>
      </x:c>
      <x:c r="N52" s="28" t="n">
        <x:f>Source!M38</x:f>
        <x:v>8.1875</x:v>
      </x:c>
      <x:c r="O52" s="28" t="n">
        <x:f>Source!N38</x:f>
        <x:v>50.0625</x:v>
      </x:c>
      <x:c r="P52" s="29" t="n">
        <x:f>SUM(P49:P51)</x:f>
        <x:v>-12.5</x:v>
      </x:c>
      <x:c r="Q52" s="29" t="n">
        <x:f>SUM(Q49:Q51)</x:f>
        <x:v>-12.5</x:v>
      </x:c>
      <x:c r="R52" s="29" t="n">
        <x:f>SUM(R49:R51)</x:f>
        <x:v>-12.5</x:v>
      </x:c>
      <x:c r="S52" s="29" t="n">
        <x:f>SUM(S49:S51)</x:f>
        <x:v>-12.5</x:v>
      </x:c>
      <x:c r="T52" s="29" t="n">
        <x:f>SUM(T49:T51)</x:f>
        <x:v>-12.5</x:v>
      </x:c>
      <x:c r="U52" s="29" t="n">
        <x:f>SUM(U49:U51)</x:f>
        <x:v>-12.5</x:v>
      </x:c>
      <x:c r="V52" s="29" t="n">
        <x:f>SUM(V49:V51)</x:f>
        <x:v>-12.5</x:v>
      </x:c>
      <x:c r="W52" s="29" t="n">
        <x:f>SUM(W49:W51)</x:f>
        <x:v>-12.5</x:v>
      </x:c>
      <x:c r="X52" s="29" t="n">
        <x:f>SUM(X49:X51)</x:f>
        <x:v>-12.5</x:v>
      </x:c>
      <x:c r="Y52" s="29" t="n">
        <x:f>SUM(Y49:Y51)</x:f>
        <x:v>-12.5</x:v>
      </x:c>
      <x:c r="Z52" s="29" t="n">
        <x:f>SUM(Z49:Z51)</x:f>
        <x:v>-12.5</x:v>
      </x:c>
      <x:c r="AA52" s="29" t="n">
        <x:f>SUM(AA49:AA51)</x:f>
        <x:v>-12.5</x:v>
      </x:c>
    </x:row>
    <x:row r="53" ht="21" customHeight="1">
      <x:c r="C53" s="27" t="str">
        <x:v>Change in cash</x:v>
      </x:c>
      <x:c r="D53" s="29" t="n">
        <x:f>SUM(D46,D48,D52)</x:f>
        <x:v>29.200000000000003</x:v>
      </x:c>
      <x:c r="E53" s="29" t="n">
        <x:f>SUM(E46,E48,E52)</x:f>
        <x:v>3.8249999999999993</x:v>
      </x:c>
      <x:c r="F53" s="29" t="n">
        <x:f>SUM(F46,F48,F52)</x:f>
        <x:v>1.3937500000000007</x:v>
      </x:c>
      <x:c r="G53" s="29" t="n">
        <x:f>SUM(G46,G48,G52)</x:f>
        <x:v>3.5812500000000007</x:v>
      </x:c>
      <x:c r="H53" s="29" t="n">
        <x:f>SUM(H46,H48,H52)</x:f>
        <x:v>8.219999999999992</x:v>
      </x:c>
      <x:c r="I53" s="29" t="n">
        <x:f>SUM(I46,I48,I52)</x:f>
        <x:v>29.095</x:v>
      </x:c>
      <x:c r="J53" s="29" t="n">
        <x:f>SUM(J46,J48,J52)</x:f>
        <x:v>2.2212499999999986</x:v>
      </x:c>
      <x:c r="K53" s="29" t="n">
        <x:f>SUM(K46,K48,K52)</x:f>
        <x:v>31.463749999999997</x:v>
      </x:c>
      <x:c r="L53" s="29" t="n">
        <x:f>SUM(L46,L48,L52)</x:f>
        <x:v>3.5999999999999943</x:v>
      </x:c>
      <x:c r="M53" s="29" t="n">
        <x:f>SUM(M46,M48,M52)</x:f>
        <x:v>36.45</x:v>
      </x:c>
      <x:c r="N53" s="29" t="n">
        <x:f>SUM(N46,N48,N52)</x:f>
        <x:v>2.5874999999999986</x:v>
      </x:c>
      <x:c r="O53" s="29" t="n">
        <x:f>SUM(O46,O48,O52)</x:f>
        <x:v>37.3625</x:v>
      </x:c>
      <x:c r="P53" s="29" t="n">
        <x:f>SUM(P46,P48,P52)</x:f>
        <x:v>21.131855815485878</x:v>
      </x:c>
      <x:c r="Q53" s="29" t="n">
        <x:f>SUM(Q46,Q48,Q52)</x:f>
        <x:v>-29.389332045611102</x:v>
      </x:c>
      <x:c r="R53" s="29" t="n">
        <x:f>SUM(R46,R48,R52)</x:f>
        <x:v>-27.79375906157965</x:v>
      </x:c>
      <x:c r="S53" s="29" t="n">
        <x:f>SUM(S46,S48,S52)</x:f>
        <x:v>-28.62954758663662</x:v>
      </x:c>
      <x:c r="T53" s="29" t="n">
        <x:f>SUM(T46,T48,T52)</x:f>
        <x:v>51.27431085700206</x:v>
      </x:c>
      <x:c r="U53" s="29" t="n">
        <x:f>SUM(U46,U48,U52)</x:f>
        <x:v>-22.105111904667787</x:v>
      </x:c>
      <x:c r="V53" s="29" t="n">
        <x:f>SUM(V46,V48,V52)</x:f>
        <x:v>-15.595983710451993</x:v>
      </x:c>
      <x:c r="W53" s="29" t="n">
        <x:f>SUM(W46,W48,W52)</x:f>
        <x:v>-18.024131009962343</x:v>
      </x:c>
      <x:c r="X53" s="29" t="n">
        <x:f>SUM(X46,X48,X52)</x:f>
        <x:v>84.42666882149504</x:v>
      </x:c>
      <x:c r="Y53" s="29" t="n">
        <x:f>SUM(Y46,Y48,Y52)</x:f>
        <x:v>-15.857164527097328</x:v>
      </x:c>
      <x:c r="Z53" s="29" t="n">
        <x:f>SUM(Z46,Z48,Z52)</x:f>
        <x:v>0.5735337503367504</x:v>
      </x:c>
      <x:c r="AA53" s="29" t="n">
        <x:f>SUM(AA46,AA48,AA52)</x:f>
        <x:v>-4.145283024765199</x:v>
      </x:c>
    </x:row>
    <x:row r="54" ht="21" customHeight="1">
      <x:c r="C54" s="1" t="str">
        <x:v>Opening cash</x:v>
      </x:c>
      <x:c r="D54" s="8" t="n">
        <x:f>Assumptions!$D$30</x:f>
        <x:v>21.8</x:v>
      </x:c>
      <x:c r="E54" s="8" t="n">
        <x:f>Source!D40</x:f>
        <x:v>51</x:v>
      </x:c>
      <x:c r="F54" s="8" t="n">
        <x:f>Source!E40</x:f>
        <x:v>54.825</x:v>
      </x:c>
      <x:c r="G54" s="8" t="n">
        <x:f>Source!F40</x:f>
        <x:v>56.21875</x:v>
      </x:c>
      <x:c r="H54" s="8" t="n">
        <x:f>Source!G40</x:f>
        <x:v>59.8</x:v>
      </x:c>
      <x:c r="I54" s="8" t="n">
        <x:f>Source!H40</x:f>
        <x:v>68.02</x:v>
      </x:c>
      <x:c r="J54" s="8" t="n">
        <x:f>Source!I40</x:f>
        <x:v>97.115</x:v>
      </x:c>
      <x:c r="K54" s="8" t="n">
        <x:f>Source!J40</x:f>
        <x:v>99.33625</x:v>
      </x:c>
      <x:c r="L54" s="8" t="n">
        <x:f>Source!K40</x:f>
        <x:v>130.8</x:v>
      </x:c>
      <x:c r="M54" s="8" t="n">
        <x:f>Source!L40</x:f>
        <x:v>134.4</x:v>
      </x:c>
      <x:c r="N54" s="8" t="n">
        <x:f>Source!M40</x:f>
        <x:v>170.85</x:v>
      </x:c>
      <x:c r="O54" s="8" t="n">
        <x:f>Source!N40</x:f>
        <x:v>173.4375</x:v>
      </x:c>
      <x:c r="P54" s="20" t="n">
        <x:f>O55</x:f>
        <x:v>210.8</x:v>
      </x:c>
      <x:c r="Q54" s="20" t="n">
        <x:f>P55</x:f>
        <x:v>231.9318558154859</x:v>
      </x:c>
      <x:c r="R54" s="20" t="n">
        <x:f>Q55</x:f>
        <x:v>202.5425237698748</x:v>
      </x:c>
      <x:c r="S54" s="20" t="n">
        <x:f>R55</x:f>
        <x:v>174.74876470829514</x:v>
      </x:c>
      <x:c r="T54" s="20" t="n">
        <x:f>S55</x:f>
        <x:v>146.11921712165852</x:v>
      </x:c>
      <x:c r="U54" s="20" t="n">
        <x:f>T55</x:f>
        <x:v>197.3935279786606</x:v>
      </x:c>
      <x:c r="V54" s="20" t="n">
        <x:f>U55</x:f>
        <x:v>175.2884160739928</x:v>
      </x:c>
      <x:c r="W54" s="20" t="n">
        <x:f>V55</x:f>
        <x:v>159.6924323635408</x:v>
      </x:c>
      <x:c r="X54" s="20" t="n">
        <x:f>W55</x:f>
        <x:v>141.66830135357847</x:v>
      </x:c>
      <x:c r="Y54" s="20" t="n">
        <x:f>X55</x:f>
        <x:v>226.0949701750735</x:v>
      </x:c>
      <x:c r="Z54" s="20" t="n">
        <x:f>Y55</x:f>
        <x:v>210.2378056479762</x:v>
      </x:c>
      <x:c r="AA54" s="20" t="n">
        <x:f>Z55</x:f>
        <x:v>210.81133939831295</x:v>
      </x:c>
    </x:row>
    <x:row r="55" ht="21" customHeight="1">
      <x:c r="C55" s="27" t="str">
        <x:v>Closing cash</x:v>
      </x:c>
      <x:c r="D55" s="28" t="n">
        <x:f>Source!C41</x:f>
        <x:v>51</x:v>
      </x:c>
      <x:c r="E55" s="28" t="n">
        <x:f>Source!D41</x:f>
        <x:v>54.825</x:v>
      </x:c>
      <x:c r="F55" s="28" t="n">
        <x:f>Source!E41</x:f>
        <x:v>56.21875</x:v>
      </x:c>
      <x:c r="G55" s="28" t="n">
        <x:f>Source!F41</x:f>
        <x:v>59.8</x:v>
      </x:c>
      <x:c r="H55" s="28" t="n">
        <x:f>Source!G41</x:f>
        <x:v>68.02</x:v>
      </x:c>
      <x:c r="I55" s="28" t="n">
        <x:f>Source!H41</x:f>
        <x:v>97.115</x:v>
      </x:c>
      <x:c r="J55" s="28" t="n">
        <x:f>Source!I41</x:f>
        <x:v>99.33625</x:v>
      </x:c>
      <x:c r="K55" s="28" t="n">
        <x:f>Source!J41</x:f>
        <x:v>130.8</x:v>
      </x:c>
      <x:c r="L55" s="28" t="n">
        <x:f>Source!K41</x:f>
        <x:v>134.4</x:v>
      </x:c>
      <x:c r="M55" s="28" t="n">
        <x:f>Source!L41</x:f>
        <x:v>170.85</x:v>
      </x:c>
      <x:c r="N55" s="28" t="n">
        <x:f>Source!M41</x:f>
        <x:v>173.4375</x:v>
      </x:c>
      <x:c r="O55" s="28" t="n">
        <x:f>Source!N41</x:f>
        <x:v>210.8</x:v>
      </x:c>
      <x:c r="P55" s="29" t="n">
        <x:f>P54+P53</x:f>
        <x:v>231.9318558154859</x:v>
      </x:c>
      <x:c r="Q55" s="29" t="n">
        <x:f>Q54+Q53</x:f>
        <x:v>202.5425237698748</x:v>
      </x:c>
      <x:c r="R55" s="29" t="n">
        <x:f>R54+R53</x:f>
        <x:v>174.74876470829514</x:v>
      </x:c>
      <x:c r="S55" s="29" t="n">
        <x:f>S54+S53</x:f>
        <x:v>146.11921712165852</x:v>
      </x:c>
      <x:c r="T55" s="29" t="n">
        <x:f>T54+T53</x:f>
        <x:v>197.3935279786606</x:v>
      </x:c>
      <x:c r="U55" s="29" t="n">
        <x:f>U54+U53</x:f>
        <x:v>175.2884160739928</x:v>
      </x:c>
      <x:c r="V55" s="29" t="n">
        <x:f>V54+V53</x:f>
        <x:v>159.6924323635408</x:v>
      </x:c>
      <x:c r="W55" s="29" t="n">
        <x:f>W54+W53</x:f>
        <x:v>141.66830135357847</x:v>
      </x:c>
      <x:c r="X55" s="29" t="n">
        <x:f>X54+X53</x:f>
        <x:v>226.0949701750735</x:v>
      </x:c>
      <x:c r="Y55" s="29" t="n">
        <x:f>Y54+Y53</x:f>
        <x:v>210.2378056479762</x:v>
      </x:c>
      <x:c r="Z55" s="29" t="n">
        <x:f>Z54+Z53</x:f>
        <x:v>210.81133939831295</x:v>
      </x:c>
      <x:c r="AA55" s="29" t="n">
        <x:f>AA54+AA53</x:f>
        <x:v>206.66605637354775</x:v>
      </x:c>
    </x:row>
    <x:row r="56" ht="21" customHeight="1"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21" customHeight="1">
      <x:c r="C57" s="15" t="str">
        <x:v>Asset and debt schedules</x:v>
      </x:c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s="16"/>
      <x:c r="Y57" s="16"/>
      <x:c r="Z57" s="16"/>
      <x:c r="AA57" s="16"/>
    </x:row>
    <x:row r="58" ht="21" customHeight="1">
      <x:c r="C58" s="1" t="str">
        <x:v>Opening net PP&amp;E</x:v>
      </x:c>
      <x:c r="D58" s="8" t="n">
        <x:f>Assumptions!$D$32</x:f>
        <x:v>420</x:v>
      </x:c>
      <x:c r="E58" s="20" t="n">
        <x:f>D27</x:f>
        <x:v>425</x:v>
      </x:c>
      <x:c r="F58" s="20" t="n">
        <x:f>E27</x:f>
        <x:v>455</x:v>
      </x:c>
      <x:c r="G58" s="20" t="n">
        <x:f>F27</x:f>
        <x:v>470</x:v>
      </x:c>
      <x:c r="H58" s="20" t="n">
        <x:f>G27</x:f>
        <x:v>500</x:v>
      </x:c>
      <x:c r="I58" s="20" t="n">
        <x:f>H27</x:f>
        <x:v>473</x:v>
      </x:c>
      <x:c r="J58" s="20" t="n">
        <x:f>I27</x:f>
        <x:v>506</x:v>
      </x:c>
      <x:c r="K58" s="20" t="n">
        <x:f>J27</x:f>
        <x:v>522.5</x:v>
      </x:c>
      <x:c r="L58" s="20" t="n">
        <x:f>K27</x:f>
        <x:v>550</x:v>
      </x:c>
      <x:c r="M58" s="20" t="n">
        <x:f>L27</x:f>
        <x:v>504</x:v>
      </x:c>
      <x:c r="N58" s="20" t="n">
        <x:f>M27</x:f>
        <x:v>546</x:v>
      </x:c>
      <x:c r="O58" s="20" t="n">
        <x:f>N27</x:f>
        <x:v>570</x:v>
      </x:c>
      <x:c r="P58" s="8" t="n">
        <x:f>'Base Case'!P58</x:f>
        <x:v>600</x:v>
      </x:c>
      <x:c r="Q58" s="8" t="n">
        <x:f>'Base Case'!Q58</x:f>
        <x:v>609.4225208333334</x:v>
      </x:c>
      <x:c r="R58" s="8" t="n">
        <x:f>'Base Case'!R58</x:f>
        <x:v>617.1948125</x:v>
      </x:c>
      <x:c r="S58" s="8" t="n">
        <x:f>'Base Case'!S58</x:f>
        <x:v>627.8147291666667</x:v>
      </x:c>
      <x:c r="T58" s="8" t="n">
        <x:f>'Base Case'!T58</x:f>
        <x:v>639.4752916666666</x:v>
      </x:c>
      <x:c r="U58" s="8" t="n">
        <x:f>'Base Case'!U58</x:f>
        <x:v>648.483339375</x:v>
      </x:c>
      <x:c r="V58" s="8" t="n">
        <x:f>'Base Case'!V58</x:f>
        <x:v>655.6926372916668</x:v>
      </x:c>
      <x:c r="W58" s="8" t="n">
        <x:f>'Base Case'!W58</x:f>
        <x:v>666.0058464583335</x:v>
      </x:c>
      <x:c r="X58" s="8" t="n">
        <x:f>'Base Case'!X58</x:f>
        <x:v>677.4533595833335</x:v>
      </x:c>
      <x:c r="Y58" s="8" t="n">
        <x:f>'Base Case'!Y58</x:f>
        <x:v>685.7434261083334</x:v>
      </x:c>
      <x:c r="Z58" s="8" t="n">
        <x:f>'Base Case'!Z58</x:f>
        <x:v>692.0908428583335</x:v>
      </x:c>
      <x:c r="AA58" s="8" t="n">
        <x:f>'Base Case'!AA58</x:f>
        <x:v>701.7904837583335</x:v>
      </x:c>
    </x:row>
    <x:row r="59" ht="21" customHeight="1">
      <x:c r="C59" s="1" t="str">
        <x:v>Capital expenditure</x:v>
      </x:c>
      <x:c r="D59" s="2" t="str">
        <x:v>n.a.</x:v>
      </x:c>
      <x:c r="E59" s="2" t="str">
        <x:v>n.a.</x:v>
      </x:c>
      <x:c r="F59" s="2" t="str">
        <x:v>n.a.</x:v>
      </x:c>
      <x:c r="G59" s="2" t="str">
        <x:v>n.a.</x:v>
      </x:c>
      <x:c r="H59" s="2" t="str">
        <x:v>n.a.</x:v>
      </x:c>
      <x:c r="I59" s="2" t="str">
        <x:v>n.a.</x:v>
      </x:c>
      <x:c r="J59" s="2" t="str">
        <x:v>n.a.</x:v>
      </x:c>
      <x:c r="K59" s="2" t="str">
        <x:v>n.a.</x:v>
      </x:c>
      <x:c r="L59" s="2" t="str">
        <x:v>n.a.</x:v>
      </x:c>
      <x:c r="M59" s="2" t="str">
        <x:v>n.a.</x:v>
      </x:c>
      <x:c r="N59" s="2" t="str">
        <x:v>n.a.</x:v>
      </x:c>
      <x:c r="O59" s="2" t="str">
        <x:v>n.a.</x:v>
      </x:c>
      <x:c r="P59" s="8" t="n">
        <x:f>'Base Case'!P59</x:f>
        <x:v>24.73166666666667</x:v>
      </x:c>
      <x:c r="Q59" s="8" t="n">
        <x:f>'Base Case'!Q59</x:f>
        <x:v>23.686666666666667</x:v>
      </x:c>
      <x:c r="R59" s="8" t="n">
        <x:f>'Base Case'!R59</x:f>
        <x:v>27.17</x:v>
      </x:c>
      <x:c r="S59" s="8" t="n">
        <x:f>'Base Case'!S59</x:f>
        <x:v>28.91166666666667</x:v>
      </x:c>
      <x:c r="T59" s="8" t="n">
        <x:f>'Base Case'!T59</x:f>
        <x:v>26.95751666666667</x:v>
      </x:c>
      <x:c r="U59" s="8" t="n">
        <x:f>'Base Case'!U59</x:f>
        <x:v>25.818466666666673</x:v>
      </x:c>
      <x:c r="V59" s="8" t="n">
        <x:f>'Base Case'!V59</x:f>
        <x:v>29.61530000000001</x:v>
      </x:c>
      <x:c r="W59" s="8" t="n">
        <x:f>'Base Case'!W59</x:f>
        <x:v>31.51371666666667</x:v>
      </x:c>
      <x:c r="X59" s="8" t="n">
        <x:f>'Base Case'!X59</x:f>
        <x:v>29.114118000000005</x:v>
      </x:c>
      <x:c r="Y59" s="8" t="n">
        <x:f>'Base Case'!Y59</x:f>
        <x:v>27.883944000000003</x:v>
      </x:c>
      <x:c r="Z59" s="8" t="n">
        <x:f>'Base Case'!Z59</x:f>
        <x:v>31.984524000000008</x:v>
      </x:c>
      <x:c r="AA59" s="8" t="n">
        <x:f>'Base Case'!AA59</x:f>
        <x:v>34.034814000000004</x:v>
      </x:c>
    </x:row>
    <x:row r="60" ht="21" customHeight="1">
      <x:c r="C60" s="1" t="str">
        <x:v>Depreciation of opening 2024 PP&amp;E</x:v>
      </x:c>
      <x:c r="D60" s="2" t="str">
        <x:v>n.a.</x:v>
      </x:c>
      <x:c r="E60" s="2" t="str">
        <x:v>n.a.</x:v>
      </x:c>
      <x:c r="F60" s="2" t="str">
        <x:v>n.a.</x:v>
      </x:c>
      <x:c r="G60" s="2" t="str">
        <x:v>n.a.</x:v>
      </x:c>
      <x:c r="H60" s="2" t="str">
        <x:v>n.a.</x:v>
      </x:c>
      <x:c r="I60" s="2" t="str">
        <x:v>n.a.</x:v>
      </x:c>
      <x:c r="J60" s="2" t="str">
        <x:v>n.a.</x:v>
      </x:c>
      <x:c r="K60" s="2" t="str">
        <x:v>n.a.</x:v>
      </x:c>
      <x:c r="L60" s="2" t="str">
        <x:v>n.a.</x:v>
      </x:c>
      <x:c r="M60" s="2" t="str">
        <x:v>n.a.</x:v>
      </x:c>
      <x:c r="N60" s="2" t="str">
        <x:v>n.a.</x:v>
      </x:c>
      <x:c r="O60" s="2" t="str">
        <x:v>n.a.</x:v>
      </x:c>
      <x:c r="P60" s="8" t="n">
        <x:f>'Base Case'!P60</x:f>
        <x:v>15</x:v>
      </x:c>
      <x:c r="Q60" s="8" t="n">
        <x:f>'Base Case'!Q60</x:f>
        <x:v>15</x:v>
      </x:c>
      <x:c r="R60" s="8" t="n">
        <x:f>'Base Case'!R60</x:f>
        <x:v>15</x:v>
      </x:c>
      <x:c r="S60" s="8" t="n">
        <x:f>'Base Case'!S60</x:f>
        <x:v>15</x:v>
      </x:c>
      <x:c r="T60" s="8" t="n">
        <x:f>'Base Case'!T60</x:f>
        <x:v>15</x:v>
      </x:c>
      <x:c r="U60" s="8" t="n">
        <x:f>'Base Case'!U60</x:f>
        <x:v>15</x:v>
      </x:c>
      <x:c r="V60" s="8" t="n">
        <x:f>'Base Case'!V60</x:f>
        <x:v>15</x:v>
      </x:c>
      <x:c r="W60" s="8" t="n">
        <x:f>'Base Case'!W60</x:f>
        <x:v>15</x:v>
      </x:c>
      <x:c r="X60" s="8" t="n">
        <x:f>'Base Case'!X60</x:f>
        <x:v>15</x:v>
      </x:c>
      <x:c r="Y60" s="8" t="n">
        <x:f>'Base Case'!Y60</x:f>
        <x:v>15</x:v>
      </x:c>
      <x:c r="Z60" s="8" t="n">
        <x:f>'Base Case'!Z60</x:f>
        <x:v>15</x:v>
      </x:c>
      <x:c r="AA60" s="8" t="n">
        <x:f>'Base Case'!AA60</x:f>
        <x:v>15</x:v>
      </x:c>
    </x:row>
    <x:row r="61" ht="21" customHeight="1">
      <x:c r="C61" s="1" t="str">
        <x:v>Depreciation of forecast capex</x:v>
      </x:c>
      <x:c r="D61" s="2" t="str">
        <x:v>n.a.</x:v>
      </x:c>
      <x:c r="E61" s="2" t="str">
        <x:v>n.a.</x:v>
      </x:c>
      <x:c r="F61" s="2" t="str">
        <x:v>n.a.</x:v>
      </x:c>
      <x:c r="G61" s="2" t="str">
        <x:v>n.a.</x:v>
      </x:c>
      <x:c r="H61" s="2" t="str">
        <x:v>n.a.</x:v>
      </x:c>
      <x:c r="I61" s="2" t="str">
        <x:v>n.a.</x:v>
      </x:c>
      <x:c r="J61" s="2" t="str">
        <x:v>n.a.</x:v>
      </x:c>
      <x:c r="K61" s="2" t="str">
        <x:v>n.a.</x:v>
      </x:c>
      <x:c r="L61" s="2" t="str">
        <x:v>n.a.</x:v>
      </x:c>
      <x:c r="M61" s="2" t="str">
        <x:v>n.a.</x:v>
      </x:c>
      <x:c r="N61" s="2" t="str">
        <x:v>n.a.</x:v>
      </x:c>
      <x:c r="O61" s="2" t="str">
        <x:v>n.a.</x:v>
      </x:c>
      <x:c r="P61" s="8" t="n">
        <x:f>'Base Case'!P61</x:f>
        <x:v>0.30914583333333334</x:v>
      </x:c>
      <x:c r="Q61" s="8" t="n">
        <x:f>'Base Case'!Q61</x:f>
        <x:v>0.914375</x:v>
      </x:c>
      <x:c r="R61" s="8" t="n">
        <x:f>'Base Case'!R61</x:f>
        <x:v>1.5500833333333335</x:v>
      </x:c>
      <x:c r="S61" s="8" t="n">
        <x:f>'Base Case'!S61</x:f>
        <x:v>2.251104166666667</x:v>
      </x:c>
      <x:c r="T61" s="8" t="n">
        <x:f>'Base Case'!T61</x:f>
        <x:v>2.949468958333333</x:v>
      </x:c>
      <x:c r="U61" s="8" t="n">
        <x:f>'Base Case'!U61</x:f>
        <x:v>3.60916875</x:v>
      </x:c>
      <x:c r="V61" s="8" t="n">
        <x:f>'Base Case'!V61</x:f>
        <x:v>4.302090833333334</x:v>
      </x:c>
      <x:c r="W61" s="8" t="n">
        <x:f>'Base Case'!W61</x:f>
        <x:v>5.066203541666668</x:v>
      </x:c>
      <x:c r="X61" s="8" t="n">
        <x:f>'Base Case'!X61</x:f>
        <x:v>5.824051475000001</x:v>
      </x:c>
      <x:c r="Y61" s="8" t="n">
        <x:f>'Base Case'!Y61</x:f>
        <x:v>6.536527250000002</x:v>
      </x:c>
      <x:c r="Z61" s="8" t="n">
        <x:f>'Base Case'!Z61</x:f>
        <x:v>7.284883100000001</x:v>
      </x:c>
      <x:c r="AA61" s="8" t="n">
        <x:f>'Base Case'!AA61</x:f>
        <x:v>8.110124825000002</x:v>
      </x:c>
    </x:row>
    <x:row r="62" ht="21" customHeight="1">
      <x:c r="C62" s="27" t="str">
        <x:v>Total depreciation</x:v>
      </x:c>
      <x:c r="D62" s="31" t="str">
        <x:v>n.a.</x:v>
      </x:c>
      <x:c r="E62" s="31" t="str">
        <x:v>n.a.</x:v>
      </x:c>
      <x:c r="F62" s="31" t="str">
        <x:v>n.a.</x:v>
      </x:c>
      <x:c r="G62" s="31" t="str">
        <x:v>n.a.</x:v>
      </x:c>
      <x:c r="H62" s="31" t="str">
        <x:v>n.a.</x:v>
      </x:c>
      <x:c r="I62" s="31" t="str">
        <x:v>n.a.</x:v>
      </x:c>
      <x:c r="J62" s="31" t="str">
        <x:v>n.a.</x:v>
      </x:c>
      <x:c r="K62" s="31" t="str">
        <x:v>n.a.</x:v>
      </x:c>
      <x:c r="L62" s="31" t="str">
        <x:v>n.a.</x:v>
      </x:c>
      <x:c r="M62" s="31" t="str">
        <x:v>n.a.</x:v>
      </x:c>
      <x:c r="N62" s="31" t="str">
        <x:v>n.a.</x:v>
      </x:c>
      <x:c r="O62" s="31" t="str">
        <x:v>n.a.</x:v>
      </x:c>
      <x:c r="P62" s="28" t="n">
        <x:f>'Base Case'!P62</x:f>
        <x:v>15.309145833333334</x:v>
      </x:c>
      <x:c r="Q62" s="28" t="n">
        <x:f>'Base Case'!Q62</x:f>
        <x:v>15.914375</x:v>
      </x:c>
      <x:c r="R62" s="28" t="n">
        <x:f>'Base Case'!R62</x:f>
        <x:v>16.550083333333333</x:v>
      </x:c>
      <x:c r="S62" s="28" t="n">
        <x:f>'Base Case'!S62</x:f>
        <x:v>17.251104166666668</x:v>
      </x:c>
      <x:c r="T62" s="28" t="n">
        <x:f>'Base Case'!T62</x:f>
        <x:v>17.949468958333334</x:v>
      </x:c>
      <x:c r="U62" s="28" t="n">
        <x:f>'Base Case'!U62</x:f>
        <x:v>18.60916875</x:v>
      </x:c>
      <x:c r="V62" s="28" t="n">
        <x:f>'Base Case'!V62</x:f>
        <x:v>19.302090833333335</x:v>
      </x:c>
      <x:c r="W62" s="28" t="n">
        <x:f>'Base Case'!W62</x:f>
        <x:v>20.066203541666667</x:v>
      </x:c>
      <x:c r="X62" s="28" t="n">
        <x:f>'Base Case'!X62</x:f>
        <x:v>20.824051475</x:v>
      </x:c>
      <x:c r="Y62" s="28" t="n">
        <x:f>'Base Case'!Y62</x:f>
        <x:v>21.536527250000002</x:v>
      </x:c>
      <x:c r="Z62" s="28" t="n">
        <x:f>'Base Case'!Z62</x:f>
        <x:v>22.284883100000002</x:v>
      </x:c>
      <x:c r="AA62" s="28" t="n">
        <x:f>'Base Case'!AA62</x:f>
        <x:v>23.110124825</x:v>
      </x:c>
    </x:row>
    <x:row r="63" ht="21" customHeight="1">
      <x:c r="C63" s="1" t="str">
        <x:v>Opening total debt</x:v>
      </x:c>
      <x:c r="D63" s="20" t="n">
        <x:f>D66-D49</x:f>
        <x:v>385</x:v>
      </x:c>
      <x:c r="E63" s="20" t="n">
        <x:f>D66</x:f>
        <x:v>383</x:v>
      </x:c>
      <x:c r="F63" s="20" t="n">
        <x:f>E66</x:f>
        <x:v>382.925</x:v>
      </x:c>
      <x:c r="G63" s="20" t="n">
        <x:f>F66</x:f>
        <x:v>382.41875</x:v>
      </x:c>
      <x:c r="H63" s="20" t="n">
        <x:f>G66</x:f>
        <x:v>380</x:v>
      </x:c>
      <x:c r="I63" s="20" t="n">
        <x:f>H66</x:f>
        <x:v>376.9</x:v>
      </x:c>
      <x:c r="J63" s="20" t="n">
        <x:f>I66</x:f>
        <x:v>373.675</x:v>
      </x:c>
      <x:c r="K63" s="20" t="n">
        <x:f>J66</x:f>
        <x:v>370.65625</x:v>
      </x:c>
      <x:c r="L63" s="20" t="n">
        <x:f>K66</x:f>
        <x:v>360</x:v>
      </x:c>
      <x:c r="M63" s="20" t="n">
        <x:f>L66</x:f>
        <x:v>357</x:v>
      </x:c>
      <x:c r="N63" s="20" t="n">
        <x:f>M66</x:f>
        <x:v>356.75</x:v>
      </x:c>
      <x:c r="O63" s="20" t="n">
        <x:f>N66</x:f>
        <x:v>355.9375</x:v>
      </x:c>
      <x:c r="P63" s="20" t="n">
        <x:f>O66</x:f>
        <x:v>350</x:v>
      </x:c>
      <x:c r="Q63" s="20" t="n">
        <x:f>P66</x:f>
        <x:v>337.5</x:v>
      </x:c>
      <x:c r="R63" s="20" t="n">
        <x:f>Q66</x:f>
        <x:v>325</x:v>
      </x:c>
      <x:c r="S63" s="20" t="n">
        <x:f>R66</x:f>
        <x:v>312.5</x:v>
      </x:c>
      <x:c r="T63" s="20" t="n">
        <x:f>S66</x:f>
        <x:v>300</x:v>
      </x:c>
      <x:c r="U63" s="20" t="n">
        <x:f>T66</x:f>
        <x:v>287.5</x:v>
      </x:c>
      <x:c r="V63" s="20" t="n">
        <x:f>U66</x:f>
        <x:v>275</x:v>
      </x:c>
      <x:c r="W63" s="20" t="n">
        <x:f>V66</x:f>
        <x:v>262.5</x:v>
      </x:c>
      <x:c r="X63" s="20" t="n">
        <x:f>W66</x:f>
        <x:v>250</x:v>
      </x:c>
      <x:c r="Y63" s="20" t="n">
        <x:f>X66</x:f>
        <x:v>237.5</x:v>
      </x:c>
      <x:c r="Z63" s="20" t="n">
        <x:f>Y66</x:f>
        <x:v>225</x:v>
      </x:c>
      <x:c r="AA63" s="20" t="n">
        <x:f>Z66</x:f>
        <x:v>212.5</x:v>
      </x:c>
    </x:row>
    <x:row r="64" ht="21" customHeight="1">
      <x:c r="C64" s="1" t="str">
        <x:v>Principal repayments</x:v>
      </x:c>
      <x:c r="D64" s="2" t="str">
        <x:v>n.a.</x:v>
      </x:c>
      <x:c r="E64" s="2" t="str">
        <x:v>n.a.</x:v>
      </x:c>
      <x:c r="F64" s="2" t="str">
        <x:v>n.a.</x:v>
      </x:c>
      <x:c r="G64" s="2" t="str">
        <x:v>n.a.</x:v>
      </x:c>
      <x:c r="H64" s="2" t="str">
        <x:v>n.a.</x:v>
      </x:c>
      <x:c r="I64" s="2" t="str">
        <x:v>n.a.</x:v>
      </x:c>
      <x:c r="J64" s="2" t="str">
        <x:v>n.a.</x:v>
      </x:c>
      <x:c r="K64" s="2" t="str">
        <x:v>n.a.</x:v>
      </x:c>
      <x:c r="L64" s="2" t="str">
        <x:v>n.a.</x:v>
      </x:c>
      <x:c r="M64" s="2" t="str">
        <x:v>n.a.</x:v>
      </x:c>
      <x:c r="N64" s="2" t="str">
        <x:v>n.a.</x:v>
      </x:c>
      <x:c r="O64" s="2" t="str">
        <x:v>n.a.</x:v>
      </x:c>
      <x:c r="P64" s="8" t="n">
        <x:f>MIN(P63,Assumptions!D12/4)</x:f>
        <x:v>12.5</x:v>
      </x:c>
      <x:c r="Q64" s="8" t="n">
        <x:f>MIN(Q63,Assumptions!D12/4)</x:f>
        <x:v>12.5</x:v>
      </x:c>
      <x:c r="R64" s="8" t="n">
        <x:f>MIN(R63,Assumptions!D12/4)</x:f>
        <x:v>12.5</x:v>
      </x:c>
      <x:c r="S64" s="8" t="n">
        <x:f>MIN(S63,Assumptions!D12/4)</x:f>
        <x:v>12.5</x:v>
      </x:c>
      <x:c r="T64" s="8" t="n">
        <x:f>MIN(T63,Assumptions!E12/4)</x:f>
        <x:v>12.5</x:v>
      </x:c>
      <x:c r="U64" s="8" t="n">
        <x:f>MIN(U63,Assumptions!E12/4)</x:f>
        <x:v>12.5</x:v>
      </x:c>
      <x:c r="V64" s="8" t="n">
        <x:f>MIN(V63,Assumptions!E12/4)</x:f>
        <x:v>12.5</x:v>
      </x:c>
      <x:c r="W64" s="8" t="n">
        <x:f>MIN(W63,Assumptions!E12/4)</x:f>
        <x:v>12.5</x:v>
      </x:c>
      <x:c r="X64" s="8" t="n">
        <x:f>MIN(X63,Assumptions!F12/4)</x:f>
        <x:v>12.5</x:v>
      </x:c>
      <x:c r="Y64" s="8" t="n">
        <x:f>MIN(Y63,Assumptions!F12/4)</x:f>
        <x:v>12.5</x:v>
      </x:c>
      <x:c r="Z64" s="8" t="n">
        <x:f>MIN(Z63,Assumptions!F12/4)</x:f>
        <x:v>12.5</x:v>
      </x:c>
      <x:c r="AA64" s="8" t="n">
        <x:f>MIN(AA63,Assumptions!F12/4)</x:f>
        <x:v>12.5</x:v>
      </x:c>
    </x:row>
    <x:row r="65" ht="21" customHeight="1">
      <x:c r="C65" s="1" t="str">
        <x:v>New cash borrowings</x:v>
      </x:c>
      <x:c r="D65" s="2" t="str">
        <x:v>n.a.</x:v>
      </x:c>
      <x:c r="E65" s="2" t="str">
        <x:v>n.a.</x:v>
      </x:c>
      <x:c r="F65" s="2" t="str">
        <x:v>n.a.</x:v>
      </x:c>
      <x:c r="G65" s="2" t="str">
        <x:v>n.a.</x:v>
      </x:c>
      <x:c r="H65" s="2" t="str">
        <x:v>n.a.</x:v>
      </x:c>
      <x:c r="I65" s="2" t="str">
        <x:v>n.a.</x:v>
      </x:c>
      <x:c r="J65" s="2" t="str">
        <x:v>n.a.</x:v>
      </x:c>
      <x:c r="K65" s="2" t="str">
        <x:v>n.a.</x:v>
      </x:c>
      <x:c r="L65" s="2" t="str">
        <x:v>n.a.</x:v>
      </x:c>
      <x:c r="M65" s="2" t="str">
        <x:v>n.a.</x:v>
      </x:c>
      <x:c r="N65" s="2" t="str">
        <x:v>n.a.</x:v>
      </x:c>
      <x:c r="O65" s="2" t="str">
        <x:v>n.a.</x:v>
      </x:c>
      <x:c r="P65" s="8" t="n">
        <x:f>Assumptions!D13/4</x:f>
        <x:v>0</x:v>
      </x:c>
      <x:c r="Q65" s="8" t="n">
        <x:f>Assumptions!D13/4</x:f>
        <x:v>0</x:v>
      </x:c>
      <x:c r="R65" s="8" t="n">
        <x:f>Assumptions!D13/4</x:f>
        <x:v>0</x:v>
      </x:c>
      <x:c r="S65" s="8" t="n">
        <x:f>Assumptions!D13/4</x:f>
        <x:v>0</x:v>
      </x:c>
      <x:c r="T65" s="8" t="n">
        <x:f>Assumptions!E13/4</x:f>
        <x:v>0</x:v>
      </x:c>
      <x:c r="U65" s="8" t="n">
        <x:f>Assumptions!E13/4</x:f>
        <x:v>0</x:v>
      </x:c>
      <x:c r="V65" s="8" t="n">
        <x:f>Assumptions!E13/4</x:f>
        <x:v>0</x:v>
      </x:c>
      <x:c r="W65" s="8" t="n">
        <x:f>Assumptions!E13/4</x:f>
        <x:v>0</x:v>
      </x:c>
      <x:c r="X65" s="8" t="n">
        <x:f>Assumptions!F13/4</x:f>
        <x:v>0</x:v>
      </x:c>
      <x:c r="Y65" s="8" t="n">
        <x:f>Assumptions!F13/4</x:f>
        <x:v>0</x:v>
      </x:c>
      <x:c r="Z65" s="8" t="n">
        <x:f>Assumptions!F13/4</x:f>
        <x:v>0</x:v>
      </x:c>
      <x:c r="AA65" s="8" t="n">
        <x:f>Assumptions!F13/4</x:f>
        <x:v>0</x:v>
      </x:c>
    </x:row>
    <x:row r="66" ht="21" customHeight="1">
      <x:c r="C66" s="27" t="str">
        <x:v>Closing total debt</x:v>
      </x:c>
      <x:c r="D66" s="29" t="n">
        <x:f>D31+D33</x:f>
        <x:v>383</x:v>
      </x:c>
      <x:c r="E66" s="29" t="n">
        <x:f>E31+E33</x:f>
        <x:v>382.925</x:v>
      </x:c>
      <x:c r="F66" s="29" t="n">
        <x:f>F31+F33</x:f>
        <x:v>382.41875</x:v>
      </x:c>
      <x:c r="G66" s="29" t="n">
        <x:f>G31+G33</x:f>
        <x:v>380</x:v>
      </x:c>
      <x:c r="H66" s="29" t="n">
        <x:f>H31+H33</x:f>
        <x:v>376.9</x:v>
      </x:c>
      <x:c r="I66" s="29" t="n">
        <x:f>I31+I33</x:f>
        <x:v>373.675</x:v>
      </x:c>
      <x:c r="J66" s="29" t="n">
        <x:f>J31+J33</x:f>
        <x:v>370.65625</x:v>
      </x:c>
      <x:c r="K66" s="29" t="n">
        <x:f>K31+K33</x:f>
        <x:v>360</x:v>
      </x:c>
      <x:c r="L66" s="29" t="n">
        <x:f>L31+L33</x:f>
        <x:v>357</x:v>
      </x:c>
      <x:c r="M66" s="29" t="n">
        <x:f>M31+M33</x:f>
        <x:v>356.75</x:v>
      </x:c>
      <x:c r="N66" s="29" t="n">
        <x:f>N31+N33</x:f>
        <x:v>355.9375</x:v>
      </x:c>
      <x:c r="O66" s="29" t="n">
        <x:f>O31+O33</x:f>
        <x:v>350</x:v>
      </x:c>
      <x:c r="P66" s="29" t="n">
        <x:f>P63-P64+P65</x:f>
        <x:v>337.5</x:v>
      </x:c>
      <x:c r="Q66" s="29" t="n">
        <x:f>Q63-Q64+Q65</x:f>
        <x:v>325</x:v>
      </x:c>
      <x:c r="R66" s="29" t="n">
        <x:f>R63-R64+R65</x:f>
        <x:v>312.5</x:v>
      </x:c>
      <x:c r="S66" s="29" t="n">
        <x:f>S63-S64+S65</x:f>
        <x:v>300</x:v>
      </x:c>
      <x:c r="T66" s="29" t="n">
        <x:f>T63-T64+T65</x:f>
        <x:v>287.5</x:v>
      </x:c>
      <x:c r="U66" s="29" t="n">
        <x:f>U63-U64+U65</x:f>
        <x:v>275</x:v>
      </x:c>
      <x:c r="V66" s="29" t="n">
        <x:f>V63-V64+V65</x:f>
        <x:v>262.5</x:v>
      </x:c>
      <x:c r="W66" s="29" t="n">
        <x:f>W63-W64+W65</x:f>
        <x:v>250</x:v>
      </x:c>
      <x:c r="X66" s="29" t="n">
        <x:f>X63-X64+X65</x:f>
        <x:v>237.5</x:v>
      </x:c>
      <x:c r="Y66" s="29" t="n">
        <x:f>Y63-Y64+Y65</x:f>
        <x:v>225</x:v>
      </x:c>
      <x:c r="Z66" s="29" t="n">
        <x:f>Z63-Z64+Z65</x:f>
        <x:v>212.5</x:v>
      </x:c>
      <x:c r="AA66" s="29" t="n">
        <x:f>AA63-AA64+AA65</x:f>
        <x:v>200</x:v>
      </x:c>
    </x:row>
    <x:row r="67" ht="21" customHeight="1">
      <x:c r="C67" s="1" t="str">
        <x:v>Average total debt</x:v>
      </x:c>
      <x:c r="D67" s="20" t="n">
        <x:f>AVERAGE(D63,D66)</x:f>
        <x:v>384</x:v>
      </x:c>
      <x:c r="E67" s="20" t="n">
        <x:f>AVERAGE(E63,E66)</x:f>
        <x:v>382.9625</x:v>
      </x:c>
      <x:c r="F67" s="20" t="n">
        <x:f>AVERAGE(F63,F66)</x:f>
        <x:v>382.671875</x:v>
      </x:c>
      <x:c r="G67" s="20" t="n">
        <x:f>AVERAGE(G63,G66)</x:f>
        <x:v>381.209375</x:v>
      </x:c>
      <x:c r="H67" s="20" t="n">
        <x:f>AVERAGE(H63,H66)</x:f>
        <x:v>378.45</x:v>
      </x:c>
      <x:c r="I67" s="20" t="n">
        <x:f>AVERAGE(I63,I66)</x:f>
        <x:v>375.2875</x:v>
      </x:c>
      <x:c r="J67" s="20" t="n">
        <x:f>AVERAGE(J63,J66)</x:f>
        <x:v>372.165625</x:v>
      </x:c>
      <x:c r="K67" s="20" t="n">
        <x:f>AVERAGE(K63,K66)</x:f>
        <x:v>365.328125</x:v>
      </x:c>
      <x:c r="L67" s="20" t="n">
        <x:f>AVERAGE(L63,L66)</x:f>
        <x:v>358.5</x:v>
      </x:c>
      <x:c r="M67" s="20" t="n">
        <x:f>AVERAGE(M63,M66)</x:f>
        <x:v>356.875</x:v>
      </x:c>
      <x:c r="N67" s="20" t="n">
        <x:f>AVERAGE(N63,N66)</x:f>
        <x:v>356.34375</x:v>
      </x:c>
      <x:c r="O67" s="20" t="n">
        <x:f>AVERAGE(O63,O66)</x:f>
        <x:v>352.96875</x:v>
      </x:c>
      <x:c r="P67" s="20" t="n">
        <x:f>AVERAGE(P63,P66)</x:f>
        <x:v>343.75</x:v>
      </x:c>
      <x:c r="Q67" s="20" t="n">
        <x:f>AVERAGE(Q63,Q66)</x:f>
        <x:v>331.25</x:v>
      </x:c>
      <x:c r="R67" s="20" t="n">
        <x:f>AVERAGE(R63,R66)</x:f>
        <x:v>318.75</x:v>
      </x:c>
      <x:c r="S67" s="20" t="n">
        <x:f>AVERAGE(S63,S66)</x:f>
        <x:v>306.25</x:v>
      </x:c>
      <x:c r="T67" s="20" t="n">
        <x:f>AVERAGE(T63,T66)</x:f>
        <x:v>293.75</x:v>
      </x:c>
      <x:c r="U67" s="20" t="n">
        <x:f>AVERAGE(U63,U66)</x:f>
        <x:v>281.25</x:v>
      </x:c>
      <x:c r="V67" s="20" t="n">
        <x:f>AVERAGE(V63,V66)</x:f>
        <x:v>268.75</x:v>
      </x:c>
      <x:c r="W67" s="20" t="n">
        <x:f>AVERAGE(W63,W66)</x:f>
        <x:v>256.25</x:v>
      </x:c>
      <x:c r="X67" s="20" t="n">
        <x:f>AVERAGE(X63,X66)</x:f>
        <x:v>243.75</x:v>
      </x:c>
      <x:c r="Y67" s="20" t="n">
        <x:f>AVERAGE(Y63,Y66)</x:f>
        <x:v>231.25</x:v>
      </x:c>
      <x:c r="Z67" s="20" t="n">
        <x:f>AVERAGE(Z63,Z66)</x:f>
        <x:v>218.75</x:v>
      </x:c>
      <x:c r="AA67" s="20" t="n">
        <x:f>AVERAGE(AA63,AA66)</x:f>
        <x:v>206.25</x:v>
      </x:c>
    </x:row>
    <x:row r="68" ht="21" customHeight="1">
      <x:c r="C68" s="1" t="str">
        <x:v>Annual borrowing rate</x:v>
      </x:c>
      <x:c r="D68" s="33" t="str">
        <x:v>n.a.</x:v>
      </x:c>
      <x:c r="E68" s="33" t="str">
        <x:v>n.a.</x:v>
      </x:c>
      <x:c r="F68" s="33" t="str">
        <x:v>n.a.</x:v>
      </x:c>
      <x:c r="G68" s="33" t="str">
        <x:v>n.a.</x:v>
      </x:c>
      <x:c r="H68" s="33" t="str">
        <x:v>n.a.</x:v>
      </x:c>
      <x:c r="I68" s="33" t="str">
        <x:v>n.a.</x:v>
      </x:c>
      <x:c r="J68" s="33" t="str">
        <x:v>n.a.</x:v>
      </x:c>
      <x:c r="K68" s="33" t="str">
        <x:v>n.a.</x:v>
      </x:c>
      <x:c r="L68" s="33" t="str">
        <x:v>n.a.</x:v>
      </x:c>
      <x:c r="M68" s="33" t="str">
        <x:v>n.a.</x:v>
      </x:c>
      <x:c r="N68" s="33" t="str">
        <x:v>n.a.</x:v>
      </x:c>
      <x:c r="O68" s="33" t="str">
        <x:v>n.a.</x:v>
      </x:c>
      <x:c r="P68" s="10" t="n">
        <x:f>Assumptions!D11</x:f>
        <x:v>0.056338028169014086</x:v>
      </x:c>
      <x:c r="Q68" s="10" t="n">
        <x:f>Assumptions!D11</x:f>
        <x:v>0.056338028169014086</x:v>
      </x:c>
      <x:c r="R68" s="10" t="n">
        <x:f>Assumptions!D11</x:f>
        <x:v>0.056338028169014086</x:v>
      </x:c>
      <x:c r="S68" s="10" t="n">
        <x:f>Assumptions!D11</x:f>
        <x:v>0.056338028169014086</x:v>
      </x:c>
      <x:c r="T68" s="10" t="n">
        <x:f>Assumptions!E11</x:f>
        <x:v>0.056338028169014086</x:v>
      </x:c>
      <x:c r="U68" s="10" t="n">
        <x:f>Assumptions!E11</x:f>
        <x:v>0.056338028169014086</x:v>
      </x:c>
      <x:c r="V68" s="10" t="n">
        <x:f>Assumptions!E11</x:f>
        <x:v>0.056338028169014086</x:v>
      </x:c>
      <x:c r="W68" s="10" t="n">
        <x:f>Assumptions!E11</x:f>
        <x:v>0.056338028169014086</x:v>
      </x:c>
      <x:c r="X68" s="10" t="n">
        <x:f>Assumptions!F11</x:f>
        <x:v>0.056338028169014086</x:v>
      </x:c>
      <x:c r="Y68" s="10" t="n">
        <x:f>Assumptions!F11</x:f>
        <x:v>0.056338028169014086</x:v>
      </x:c>
      <x:c r="Z68" s="10" t="n">
        <x:f>Assumptions!F11</x:f>
        <x:v>0.056338028169014086</x:v>
      </x:c>
      <x:c r="AA68" s="10" t="n">
        <x:f>Assumptions!F11</x:f>
        <x:v>0.056338028169014086</x:v>
      </x:c>
    </x:row>
    <x:row r="69" ht="21" customHeight="1">
      <x:c r="C69" s="1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21" customHeight="1">
      <x:c r="C70" s="55" t="str">
        <x:v>Scenario operating drivers</x:v>
      </x:c>
      <x:c r="D70" s="56"/>
      <x:c r="E70" s="56"/>
      <x:c r="F70" s="56"/>
      <x:c r="G70" s="56"/>
      <x:c r="H70" s="56"/>
      <x:c r="I70" s="56"/>
      <x:c r="J70" s="56"/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  <x:c r="Z70" s="56"/>
      <x:c r="AA70" s="56"/>
    </x:row>
    <x:row r="71" ht="21" customHeight="1">
      <x:c r="C71" s="1" t="str">
        <x:v>Unshocked baseline revenue</x:v>
      </x:c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8" t="n">
        <x:f>'Base Case'!P10</x:f>
        <x:v>247.31666666666666</x:v>
      </x:c>
      <x:c r="Q71" s="8" t="n">
        <x:f>'Base Case'!Q10</x:f>
        <x:v>236.86666666666665</x:v>
      </x:c>
      <x:c r="R71" s="8" t="n">
        <x:f>'Base Case'!R10</x:f>
        <x:v>271.7</x:v>
      </x:c>
      <x:c r="S71" s="8" t="n">
        <x:f>'Base Case'!S10</x:f>
        <x:v>289.1166666666667</x:v>
      </x:c>
      <x:c r="T71" s="8" t="n">
        <x:f>'Base Case'!T10</x:f>
        <x:v>269.5751666666667</x:v>
      </x:c>
      <x:c r="U71" s="8" t="n">
        <x:f>'Base Case'!U10</x:f>
        <x:v>258.1846666666667</x:v>
      </x:c>
      <x:c r="V71" s="8" t="n">
        <x:f>'Base Case'!V10</x:f>
        <x:v>296.1530000000001</x:v>
      </x:c>
      <x:c r="W71" s="8" t="n">
        <x:f>'Base Case'!W10</x:f>
        <x:v>315.1371666666667</x:v>
      </x:c>
      <x:c r="X71" s="8" t="n">
        <x:f>'Base Case'!X10</x:f>
        <x:v>291.14118</x:v>
      </x:c>
      <x:c r="Y71" s="8" t="n">
        <x:f>'Base Case'!Y10</x:f>
        <x:v>278.83944</x:v>
      </x:c>
      <x:c r="Z71" s="8" t="n">
        <x:f>'Base Case'!Z10</x:f>
        <x:v>319.84524000000005</x:v>
      </x:c>
      <x:c r="AA71" s="8" t="n">
        <x:f>'Base Case'!AA10</x:f>
        <x:v>340.34814000000006</x:v>
      </x:c>
    </x:row>
    <x:row r="72" ht="21" customHeight="1">
      <x:c r="C72" s="1" t="str">
        <x:v>Unshocked baseline COGS</x:v>
      </x:c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8" t="n">
        <x:f>'Base Case'!P11</x:f>
        <x:v>148.39</x:v>
      </x:c>
      <x:c r="Q72" s="8" t="n">
        <x:f>'Base Case'!Q11</x:f>
        <x:v>142.11999999999998</x:v>
      </x:c>
      <x:c r="R72" s="8" t="n">
        <x:f>'Base Case'!R11</x:f>
        <x:v>163.01999999999998</x:v>
      </x:c>
      <x:c r="S72" s="8" t="n">
        <x:f>'Base Case'!S11</x:f>
        <x:v>173.47</x:v>
      </x:c>
      <x:c r="T72" s="8" t="n">
        <x:f>'Base Case'!T11</x:f>
        <x:v>161.7451</x:v>
      </x:c>
      <x:c r="U72" s="8" t="n">
        <x:f>'Base Case'!U11</x:f>
        <x:v>154.91080000000002</x:v>
      </x:c>
      <x:c r="V72" s="8" t="n">
        <x:f>'Base Case'!V11</x:f>
        <x:v>177.69180000000003</x:v>
      </x:c>
      <x:c r="W72" s="8" t="n">
        <x:f>'Base Case'!W11</x:f>
        <x:v>189.0823</x:v>
      </x:c>
      <x:c r="X72" s="8" t="n">
        <x:f>'Base Case'!X11</x:f>
        <x:v>174.684708</x:v>
      </x:c>
      <x:c r="Y72" s="8" t="n">
        <x:f>'Base Case'!Y11</x:f>
        <x:v>167.303664</x:v>
      </x:c>
      <x:c r="Z72" s="8" t="n">
        <x:f>'Base Case'!Z11</x:f>
        <x:v>191.90714400000002</x:v>
      </x:c>
      <x:c r="AA72" s="8" t="n">
        <x:f>'Base Case'!AA11</x:f>
        <x:v>204.20888400000004</x:v>
      </x:c>
    </x:row>
    <x:row r="73" ht="21" customHeight="1">
      <x:c r="C73" s="1" t="str">
        <x:v>Unshocked baseline cash opex</x:v>
      </x:c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8" t="n">
        <x:f>'Base Case'!P14</x:f>
        <x:v>36.75752083333333</x:v>
      </x:c>
      <x:c r="Q73" s="8" t="n">
        <x:f>'Base Case'!Q14</x:f>
        <x:v>33.95229166666666</x:v>
      </x:c>
      <x:c r="R73" s="8" t="n">
        <x:f>'Base Case'!R14</x:f>
        <x:v>40.64991666666666</x:v>
      </x:c>
      <x:c r="S73" s="8" t="n">
        <x:f>'Base Case'!S14</x:f>
        <x:v>43.615562499999996</x:v>
      </x:c>
      <x:c r="T73" s="8" t="n">
        <x:f>'Base Case'!T14</x:f>
        <x:v>38.803197708333336</x:v>
      </x:c>
      <x:c r="U73" s="8" t="n">
        <x:f>'Base Case'!U14</x:f>
        <x:v>35.74549791666668</x:v>
      </x:c>
      <x:c r="V73" s="8" t="n">
        <x:f>'Base Case'!V14</x:f>
        <x:v>43.045909166666675</x:v>
      </x:c>
      <x:c r="W73" s="8" t="n">
        <x:f>'Base Case'!W14</x:f>
        <x:v>46.278463125</x:v>
      </x:c>
      <x:c r="X73" s="8" t="n">
        <x:f>'Base Case'!X14</x:f>
        <x:v>40.468828525000006</x:v>
      </x:c>
      <x:c r="Y73" s="8" t="n">
        <x:f>'Base Case'!Y14</x:f>
        <x:v>37.166512749999995</x:v>
      </x:c>
      <x:c r="Z73" s="8" t="n">
        <x:f>'Base Case'!Z14</x:f>
        <x:v>45.0509569</x:v>
      </x:c>
      <x:c r="AA73" s="8" t="n">
        <x:f>'Base Case'!AA14</x:f>
        <x:v>48.542115175000006</x:v>
      </x:c>
    </x:row>
    <x:row r="74" ht="21" customHeight="1">
      <x:c r="C74" s="1" t="str">
        <x:v>Sales volume factor</x:v>
      </x:c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10" t="n">
        <x:f>1+Assumptions!D79</x:f>
        <x:v>0.8</x:v>
      </x:c>
      <x:c r="Q74" s="10" t="n">
        <x:f>1+Assumptions!D79</x:f>
        <x:v>0.8</x:v>
      </x:c>
      <x:c r="R74" s="10" t="n">
        <x:f>1+Assumptions!D79</x:f>
        <x:v>0.8</x:v>
      </x:c>
      <x:c r="S74" s="10" t="n">
        <x:f>1+Assumptions!D79</x:f>
        <x:v>0.8</x:v>
      </x:c>
      <x:c r="T74" s="10" t="n">
        <x:f>1+Assumptions!E79</x:f>
        <x:v>0.9</x:v>
      </x:c>
      <x:c r="U74" s="10" t="n">
        <x:f>1+Assumptions!E79</x:f>
        <x:v>0.9</x:v>
      </x:c>
      <x:c r="V74" s="10" t="n">
        <x:f>1+Assumptions!E79</x:f>
        <x:v>0.9</x:v>
      </x:c>
      <x:c r="W74" s="10" t="n">
        <x:f>1+Assumptions!E79</x:f>
        <x:v>0.9</x:v>
      </x:c>
      <x:c r="X74" s="10" t="n">
        <x:f>1+Assumptions!F79</x:f>
        <x:v>1</x:v>
      </x:c>
      <x:c r="Y74" s="10" t="n">
        <x:f>1+Assumptions!F79</x:f>
        <x:v>1</x:v>
      </x:c>
      <x:c r="Z74" s="10" t="n">
        <x:f>1+Assumptions!F79</x:f>
        <x:v>1</x:v>
      </x:c>
      <x:c r="AA74" s="10" t="n">
        <x:f>1+Assumptions!F79</x:f>
        <x:v>1</x:v>
      </x:c>
    </x:row>
    <x:row r="75" ht="21" customHeight="1">
      <x:c r="C75" s="1" t="str">
        <x:v>Selling price factor</x:v>
      </x:c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10" t="n">
        <x:f>1+Assumptions!D80</x:f>
        <x:v>0.97</x:v>
      </x:c>
      <x:c r="Q75" s="10" t="n">
        <x:f>1+Assumptions!D80</x:f>
        <x:v>0.97</x:v>
      </x:c>
      <x:c r="R75" s="10" t="n">
        <x:f>1+Assumptions!D80</x:f>
        <x:v>0.97</x:v>
      </x:c>
      <x:c r="S75" s="10" t="n">
        <x:f>1+Assumptions!D80</x:f>
        <x:v>0.97</x:v>
      </x:c>
      <x:c r="T75" s="10" t="n">
        <x:f>1+Assumptions!E80</x:f>
        <x:v>0.985</x:v>
      </x:c>
      <x:c r="U75" s="10" t="n">
        <x:f>1+Assumptions!E80</x:f>
        <x:v>0.985</x:v>
      </x:c>
      <x:c r="V75" s="10" t="n">
        <x:f>1+Assumptions!E80</x:f>
        <x:v>0.985</x:v>
      </x:c>
      <x:c r="W75" s="10" t="n">
        <x:f>1+Assumptions!E80</x:f>
        <x:v>0.985</x:v>
      </x:c>
      <x:c r="X75" s="10" t="n">
        <x:f>1+Assumptions!F80</x:f>
        <x:v>1</x:v>
      </x:c>
      <x:c r="Y75" s="10" t="n">
        <x:f>1+Assumptions!F80</x:f>
        <x:v>1</x:v>
      </x:c>
      <x:c r="Z75" s="10" t="n">
        <x:f>1+Assumptions!F80</x:f>
        <x:v>1</x:v>
      </x:c>
      <x:c r="AA75" s="10" t="n">
        <x:f>1+Assumptions!F80</x:f>
        <x:v>1</x:v>
      </x:c>
    </x:row>
    <x:row r="76" ht="21" customHeight="1">
      <x:c r="C76" s="1" t="str">
        <x:v>Receivable days after shock</x:v>
      </x:c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8" t="n">
        <x:f>Assumptions!D22+Assumptions!D81</x:f>
        <x:v>59.736842105263165</x:v>
      </x:c>
      <x:c r="Q76" s="8" t="n">
        <x:f>Assumptions!E22+Assumptions!D81</x:f>
        <x:v>66.84897025171625</x:v>
      </x:c>
      <x:c r="R76" s="8" t="n">
        <x:f>Assumptions!F22+Assumptions!D81</x:f>
        <x:v>63.07692307692307</x:v>
      </x:c>
      <x:c r="S76" s="8" t="n">
        <x:f>Assumptions!G22+Assumptions!D81</x:f>
        <x:v>63.80116959064327</x:v>
      </x:c>
      <x:c r="T76" s="8" t="n">
        <x:f>Assumptions!D22+Assumptions!E81</x:f>
        <x:v>54.736842105263165</x:v>
      </x:c>
      <x:c r="U76" s="8" t="n">
        <x:f>Assumptions!E22+Assumptions!E81</x:f>
        <x:v>61.848970251716246</x:v>
      </x:c>
      <x:c r="V76" s="8" t="n">
        <x:f>Assumptions!F22+Assumptions!E81</x:f>
        <x:v>58.07692307692307</x:v>
      </x:c>
      <x:c r="W76" s="8" t="n">
        <x:f>Assumptions!G22+Assumptions!E81</x:f>
        <x:v>58.80116959064327</x:v>
      </x:c>
      <x:c r="X76" s="8" t="n">
        <x:f>Assumptions!D22+Assumptions!F81</x:f>
        <x:v>49.736842105263165</x:v>
      </x:c>
      <x:c r="Y76" s="8" t="n">
        <x:f>Assumptions!E22+Assumptions!F81</x:f>
        <x:v>56.848970251716246</x:v>
      </x:c>
      <x:c r="Z76" s="8" t="n">
        <x:f>Assumptions!F22+Assumptions!F81</x:f>
        <x:v>53.07692307692307</x:v>
      </x:c>
      <x:c r="AA76" s="8" t="n">
        <x:f>Assumptions!G22+Assumptions!F81</x:f>
        <x:v>53.80116959064327</x:v>
      </x:c>
    </x:row>
    <x:row r="77" ht="21" customHeight="1">
      <x:c r="C77" s="1" t="str">
        <x:v>Inventory days after shock</x:v>
      </x:c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8" t="n">
        <x:f>Assumptions!D23+Assumptions!D82</x:f>
        <x:v>135.52631578947367</x:v>
      </x:c>
      <x:c r="Q77" s="8" t="n">
        <x:f>Assumptions!E23+Assumptions!D82</x:f>
        <x:v>151.33104500381387</x:v>
      </x:c>
      <x:c r="R77" s="8" t="n">
        <x:f>Assumptions!F23+Assumptions!D82</x:f>
        <x:v>142.94871794871796</x:v>
      </x:c>
      <x:c r="S77" s="8" t="n">
        <x:f>Assumptions!G23+Assumptions!D82</x:f>
        <x:v>144.55815464587394</x:v>
      </x:c>
      <x:c r="T77" s="8" t="n">
        <x:f>Assumptions!D23+Assumptions!E82</x:f>
        <x:v>123.02631578947367</x:v>
      </x:c>
      <x:c r="U77" s="8" t="n">
        <x:f>Assumptions!E23+Assumptions!E82</x:f>
        <x:v>138.83104500381387</x:v>
      </x:c>
      <x:c r="V77" s="8" t="n">
        <x:f>Assumptions!F23+Assumptions!E82</x:f>
        <x:v>130.44871794871796</x:v>
      </x:c>
      <x:c r="W77" s="8" t="n">
        <x:f>Assumptions!G23+Assumptions!E82</x:f>
        <x:v>132.05815464587394</x:v>
      </x:c>
      <x:c r="X77" s="8" t="n">
        <x:f>Assumptions!D23+Assumptions!F82</x:f>
        <x:v>110.52631578947367</x:v>
      </x:c>
      <x:c r="Y77" s="8" t="n">
        <x:f>Assumptions!E23+Assumptions!F82</x:f>
        <x:v>126.33104500381388</x:v>
      </x:c>
      <x:c r="Z77" s="8" t="n">
        <x:f>Assumptions!F23+Assumptions!F82</x:f>
        <x:v>117.94871794871796</x:v>
      </x:c>
      <x:c r="AA77" s="8" t="n">
        <x:f>Assumptions!G23+Assumptions!F82</x:f>
        <x:v>119.55815464587394</x:v>
      </x:c>
    </x:row>
    <x:row r="78" ht="21" customHeight="1">
      <x:c r="C78" s="1" t="str">
        <x:v>Payable days after shock</x:v>
      </x:c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8" t="n">
        <x:f>Assumptions!D24+Assumptions!D83</x:f>
        <x:v>78.1578947368421</x:v>
      </x:c>
      <x:c r="Q78" s="8" t="n">
        <x:f>Assumptions!E24+Assumptions!D83</x:f>
        <x:v>80.79633867276888</x:v>
      </x:c>
      <x:c r="R78" s="8" t="n">
        <x:f>Assumptions!F24+Assumptions!D83</x:f>
        <x:v>73.00404858299595</x:v>
      </x:c>
      <x:c r="S78" s="8" t="n">
        <x:f>Assumptions!G24+Assumptions!D83</x:f>
        <x:v>71.73489278752436</x:v>
      </x:c>
      <x:c r="T78" s="8" t="n">
        <x:f>Assumptions!D24+Assumptions!E83</x:f>
        <x:v>78.1578947368421</x:v>
      </x:c>
      <x:c r="U78" s="8" t="n">
        <x:f>Assumptions!E24+Assumptions!E83</x:f>
        <x:v>80.79633867276888</x:v>
      </x:c>
      <x:c r="V78" s="8" t="n">
        <x:f>Assumptions!F24+Assumptions!E83</x:f>
        <x:v>73.00404858299595</x:v>
      </x:c>
      <x:c r="W78" s="8" t="n">
        <x:f>Assumptions!G24+Assumptions!E83</x:f>
        <x:v>71.73489278752436</x:v>
      </x:c>
      <x:c r="X78" s="8" t="n">
        <x:f>Assumptions!D24+Assumptions!F83</x:f>
        <x:v>78.1578947368421</x:v>
      </x:c>
      <x:c r="Y78" s="8" t="n">
        <x:f>Assumptions!E24+Assumptions!F83</x:f>
        <x:v>80.79633867276888</x:v>
      </x:c>
      <x:c r="Z78" s="8" t="n">
        <x:f>Assumptions!F24+Assumptions!F83</x:f>
        <x:v>73.00404858299595</x:v>
      </x:c>
      <x:c r="AA78" s="8" t="n">
        <x:f>Assumptions!G24+Assumptions!F83</x:f>
        <x:v>71.73489278752436</x:v>
      </x:c>
    </x:row>
    <x:row r="79" ht="21" customHeight="1">
      <x:c r="C79" s="1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21" customHeight="1">
      <x:c r="C80" s="1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21" customHeight="1">
      <x:c r="C81" s="1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21" customHeight="1">
      <x:c r="C82" s="1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21" customHeight="1">
      <x:c r="C83" s="1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21" customHeight="1">
      <x:c r="C84" s="1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21" customHeight="1">
      <x:c r="C85" s="1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21" customHeight="1">
      <x:c r="C86" s="1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21" customHeight="1">
      <x:c r="C87" s="1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21" customHeight="1">
      <x:c r="C88" s="1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21" customHeight="1">
      <x:c r="C89" s="1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21" customHeight="1">
      <x:c r="C90" s="1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21" customHeight="1">
      <x:c r="C91" s="1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21" customHeight="1">
      <x:c r="C92" s="36" t="str">
        <x:v>Annual financial statements</x:v>
      </x:c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21" customHeight="1">
      <x:c r="C93" s="1" t="str">
        <x:v>USD millions. Income and cash flows sum quarters; balance sheets use Q4.</x:v>
      </x:c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21" customHeight="1">
      <x:c r="C94" s="1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21" customHeight="1">
      <x:c r="C95" s="1"/>
      <x:c r="D95" s="40" t="str">
        <x:v>2021</x:v>
      </x:c>
      <x:c r="E95" s="40" t="str">
        <x:v>2022</x:v>
      </x:c>
      <x:c r="F95" s="40" t="str">
        <x:v>2023</x:v>
      </x:c>
      <x:c r="G95" s="40" t="str">
        <x:v>2024</x:v>
      </x:c>
      <x:c r="H95" s="40" t="str">
        <x:v>2025</x:v>
      </x:c>
      <x:c r="I95" s="40" t="str">
        <x:v>2026</x:v>
      </x:c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21" customHeight="1">
      <x:c r="C96" s="1"/>
      <x:c r="D96" s="39" t="str">
        <x:v>Historical basis</x:v>
      </x:c>
      <x:c r="E96" s="39" t="str">
        <x:v>Historical basis</x:v>
      </x:c>
      <x:c r="F96" s="39" t="str">
        <x:v>Historical basis</x:v>
      </x:c>
      <x:c r="G96" s="39" t="str">
        <x:v>Demand shift</x:v>
      </x:c>
      <x:c r="H96" s="39" t="str">
        <x:v>Demand shift</x:v>
      </x:c>
      <x:c r="I96" s="39" t="str">
        <x:v>Demand shift</x:v>
      </x:c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21" customHeight="1">
      <x:c r="C97" s="15" t="str">
        <x:v>Income statement</x:v>
      </x:c>
      <x:c r="D97" s="16"/>
      <x:c r="E97" s="16"/>
      <x:c r="F97" s="16"/>
      <x:c r="G97" s="16"/>
      <x:c r="H97" s="16"/>
      <x:c r="I97" s="16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21" customHeight="1">
      <x:c r="C98" s="27" t="str">
        <x:v>Revenue</x:v>
      </x:c>
      <x:c r="D98" s="31" t="n">
        <x:f>SUM('Scenario 3 Demand'!D10:G10)</x:f>
        <x:v>720.0000000000001</x:v>
      </x:c>
      <x:c r="E98" s="31" t="n">
        <x:f>SUM('Scenario 3 Demand'!H10:K10)</x:f>
        <x:v>850</x:v>
      </x:c>
      <x:c r="F98" s="31" t="n">
        <x:f>SUM('Scenario 3 Demand'!L10:O10)</x:f>
        <x:v>950</x:v>
      </x:c>
      <x:c r="G98" s="31" t="n">
        <x:f>SUM('Scenario 3 Demand'!P10:S10)</x:f>
        <x:v>810.9200000000001</x:v>
      </x:c>
      <x:c r="H98" s="31" t="n">
        <x:f>SUM('Scenario 3 Demand'!T10:W10)</x:f>
        <x:v>1009.7678250000001</x:v>
      </x:c>
      <x:c r="I98" s="31" t="n">
        <x:f>SUM('Scenario 3 Demand'!X10:AA10)</x:f>
        <x:v>1230.1740000000002</x:v>
      </x:c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21" customHeight="1">
      <x:c r="C99" s="41" t="str">
        <x:v>Revenue growth</x:v>
      </x:c>
      <x:c r="D99" s="42" t="str">
        <x:f>"n.a."</x:f>
        <x:v>n.a.</x:v>
      </x:c>
      <x:c r="E99" s="42" t="n">
        <x:f>E98/D98-1</x:f>
        <x:v>0.18055555555555536</x:v>
      </x:c>
      <x:c r="F99" s="42" t="n">
        <x:f>F98/E98-1</x:f>
        <x:v>0.11764705882352944</x:v>
      </x:c>
      <x:c r="G99" s="42" t="n">
        <x:f>G98/F98-1</x:f>
        <x:v>-0.14639999999999997</x:v>
      </x:c>
      <x:c r="H99" s="42" t="n">
        <x:f>H98/G98-1</x:f>
        <x:v>0.2452126288659795</x:v>
      </x:c>
      <x:c r="I99" s="42" t="n">
        <x:f>I98/H98-1</x:f>
        <x:v>0.218274111675127</x:v>
      </x:c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21" customHeight="1">
      <x:c r="C100" s="1" t="str">
        <x:v>Cost of goods sold</x:v>
      </x:c>
      <x:c r="D100" s="2" t="n">
        <x:f>SUM('Scenario 3 Demand'!D11:G11)</x:f>
        <x:v>432</x:v>
      </x:c>
      <x:c r="E100" s="2" t="n">
        <x:f>SUM('Scenario 3 Demand'!H11:K11)</x:f>
        <x:v>510</x:v>
      </x:c>
      <x:c r="F100" s="2" t="n">
        <x:f>SUM('Scenario 3 Demand'!L11:O11)</x:f>
        <x:v>570</x:v>
      </x:c>
      <x:c r="G100" s="2" t="n">
        <x:f>SUM('Scenario 3 Demand'!P11:S11)</x:f>
        <x:v>501.59999999999997</x:v>
      </x:c>
      <x:c r="H100" s="2" t="n">
        <x:f>SUM('Scenario 3 Demand'!T11:W11)</x:f>
        <x:v>615.0870000000001</x:v>
      </x:c>
      <x:c r="I100" s="2" t="n">
        <x:f>SUM('Scenario 3 Demand'!X11:AA11)</x:f>
        <x:v>738.1044</x:v>
      </x:c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21" customHeight="1">
      <x:c r="C101" s="27" t="str">
        <x:v>Gross profit</x:v>
      </x:c>
      <x:c r="D101" s="31" t="n">
        <x:f>SUM('Scenario 3 Demand'!D12:G12)</x:f>
        <x:v>288</x:v>
      </x:c>
      <x:c r="E101" s="31" t="n">
        <x:f>SUM('Scenario 3 Demand'!H12:K12)</x:f>
        <x:v>340</x:v>
      </x:c>
      <x:c r="F101" s="31" t="n">
        <x:f>SUM('Scenario 3 Demand'!L12:O12)</x:f>
        <x:v>380</x:v>
      </x:c>
      <x:c r="G101" s="31" t="n">
        <x:f>SUM('Scenario 3 Demand'!P12:S12)</x:f>
        <x:v>309.32000000000005</x:v>
      </x:c>
      <x:c r="H101" s="31" t="n">
        <x:f>SUM('Scenario 3 Demand'!T12:W12)</x:f>
        <x:v>394.68082500000014</x:v>
      </x:c>
      <x:c r="I101" s="31" t="n">
        <x:f>SUM('Scenario 3 Demand'!X12:AA12)</x:f>
        <x:v>492.06960000000015</x:v>
      </x:c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21" customHeight="1">
      <x:c r="C102" s="41" t="str">
        <x:v>Gross margin</x:v>
      </x:c>
      <x:c r="D102" s="42" t="n">
        <x:f>D101/D98</x:f>
        <x:v>0.3999999999999999</x:v>
      </x:c>
      <x:c r="E102" s="42" t="n">
        <x:f>E101/E98</x:f>
        <x:v>0.4</x:v>
      </x:c>
      <x:c r="F102" s="42" t="n">
        <x:f>F101/F98</x:f>
        <x:v>0.4</x:v>
      </x:c>
      <x:c r="G102" s="42" t="n">
        <x:f>G101/G98</x:f>
        <x:v>0.3814432989690722</x:v>
      </x:c>
      <x:c r="H102" s="42" t="n">
        <x:f>H101/H98</x:f>
        <x:v>0.3908629441624366</x:v>
      </x:c>
      <x:c r="I102" s="42" t="n">
        <x:f>I101/I98</x:f>
        <x:v>0.4000000000000001</x:v>
      </x:c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21" customHeight="1">
      <x:c r="C103" s="1" t="str">
        <x:v>Operating expenses</x:v>
      </x:c>
      <x:c r="D103" s="2" t="n">
        <x:f>SUM('Scenario 3 Demand'!D13:G13)</x:f>
        <x:v>150</x:v>
      </x:c>
      <x:c r="E103" s="2" t="n">
        <x:f>SUM('Scenario 3 Demand'!H13:K13)</x:f>
        <x:v>180</x:v>
      </x:c>
      <x:c r="F103" s="2" t="n">
        <x:f>SUM('Scenario 3 Demand'!L13:O13)</x:f>
        <x:v>200</x:v>
      </x:c>
      <x:c r="G103" s="2" t="n">
        <x:f>SUM('Scenario 3 Demand'!P13:S13)</x:f>
        <x:v>210.70148249999997</x:v>
      </x:c>
      <x:c r="H103" s="2" t="n">
        <x:f>SUM('Scenario 3 Demand'!T13:W13)</x:f>
        <x:v>234.88380796250001</x:v>
      </x:c>
      <x:c r="I103" s="2" t="n">
        <x:f>SUM('Scenario 3 Demand'!X13:AA13)</x:f>
        <x:v>258.98400000000004</x:v>
      </x:c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21" customHeight="1">
      <x:c r="C104" s="27" t="str">
        <x:v>Operating income</x:v>
      </x:c>
      <x:c r="D104" s="31" t="n">
        <x:f>SUM('Scenario 3 Demand'!D16:G16)</x:f>
        <x:v>138</x:v>
      </x:c>
      <x:c r="E104" s="31" t="n">
        <x:f>SUM('Scenario 3 Demand'!H16:K16)</x:f>
        <x:v>160</x:v>
      </x:c>
      <x:c r="F104" s="31" t="n">
        <x:f>SUM('Scenario 3 Demand'!L16:O16)</x:f>
        <x:v>179.99999999999997</x:v>
      </x:c>
      <x:c r="G104" s="31" t="n">
        <x:f>SUM('Scenario 3 Demand'!P16:S16)</x:f>
        <x:v>98.61851750000008</x:v>
      </x:c>
      <x:c r="H104" s="31" t="n">
        <x:f>SUM('Scenario 3 Demand'!T16:W16)</x:f>
        <x:v>159.79701703750015</x:v>
      </x:c>
      <x:c r="I104" s="31" t="n">
        <x:f>SUM('Scenario 3 Demand'!X16:AA16)</x:f>
        <x:v>233.08560000000008</x:v>
      </x:c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21" customHeight="1">
      <x:c r="C105" s="41" t="str">
        <x:v>Operating margin</x:v>
      </x:c>
      <x:c r="D105" s="42" t="n">
        <x:f>D104/D98</x:f>
        <x:v>0.19166666666666662</x:v>
      </x:c>
      <x:c r="E105" s="42" t="n">
        <x:f>E104/E98</x:f>
        <x:v>0.18823529411764706</x:v>
      </x:c>
      <x:c r="F105" s="42" t="n">
        <x:f>F104/F98</x:f>
        <x:v>0.1894736842105263</x:v>
      </x:c>
      <x:c r="G105" s="42" t="n">
        <x:f>G104/G98</x:f>
        <x:v>0.12161312768213889</x:v>
      </x:c>
      <x:c r="H105" s="42" t="n">
        <x:f>H104/H98</x:f>
        <x:v>0.15825124655511788</x:v>
      </x:c>
      <x:c r="I105" s="42" t="n">
        <x:f>I104/I98</x:f>
        <x:v>0.18947368421052635</x:v>
      </x:c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21" customHeight="1">
      <x:c r="C106" s="1" t="str">
        <x:v>Interest expense</x:v>
      </x:c>
      <x:c r="D106" s="2" t="n">
        <x:f>SUM('Scenario 3 Demand'!D17:G17)</x:f>
        <x:v>25</x:v>
      </x:c>
      <x:c r="E106" s="2" t="n">
        <x:f>SUM('Scenario 3 Demand'!H17:K17)</x:f>
        <x:v>22</x:v>
      </x:c>
      <x:c r="F106" s="2" t="n">
        <x:f>SUM('Scenario 3 Demand'!L17:O17)</x:f>
        <x:v>20</x:v>
      </x:c>
      <x:c r="G106" s="2" t="n">
        <x:f>SUM('Scenario 3 Demand'!P17:S17)</x:f>
        <x:v>18.30985915492958</x:v>
      </x:c>
      <x:c r="H106" s="2" t="n">
        <x:f>SUM('Scenario 3 Demand'!T17:W17)</x:f>
        <x:v>15.492957746478876</x:v>
      </x:c>
      <x:c r="I106" s="2" t="n">
        <x:f>SUM('Scenario 3 Demand'!X17:AA17)</x:f>
        <x:v>12.676056338028168</x:v>
      </x:c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21" customHeight="1">
      <x:c r="C107" s="1" t="str">
        <x:v>Earnings before tax</x:v>
      </x:c>
      <x:c r="D107" s="2" t="n">
        <x:f>SUM('Scenario 3 Demand'!D18:G18)</x:f>
        <x:v>113</x:v>
      </x:c>
      <x:c r="E107" s="2" t="n">
        <x:f>SUM('Scenario 3 Demand'!H18:K18)</x:f>
        <x:v>138</x:v>
      </x:c>
      <x:c r="F107" s="2" t="n">
        <x:f>SUM('Scenario 3 Demand'!L18:O18)</x:f>
        <x:v>160</x:v>
      </x:c>
      <x:c r="G107" s="2" t="n">
        <x:f>SUM('Scenario 3 Demand'!P18:S18)</x:f>
        <x:v>80.30865834507051</x:v>
      </x:c>
      <x:c r="H107" s="2" t="n">
        <x:f>SUM('Scenario 3 Demand'!T18:W18)</x:f>
        <x:v>144.30405929102128</x:v>
      </x:c>
      <x:c r="I107" s="2" t="n">
        <x:f>SUM('Scenario 3 Demand'!X18:AA18)</x:f>
        <x:v>220.4095436619719</x:v>
      </x:c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21" customHeight="1">
      <x:c r="C108" s="1" t="str">
        <x:v>Tax expense</x:v>
      </x:c>
      <x:c r="D108" s="2" t="n">
        <x:f>SUM('Scenario 3 Demand'!D19:G19)</x:f>
        <x:v>28</x:v>
      </x:c>
      <x:c r="E108" s="2" t="n">
        <x:f>SUM('Scenario 3 Demand'!H19:K19)</x:f>
        <x:v>34</x:v>
      </x:c>
      <x:c r="F108" s="2" t="n">
        <x:f>SUM('Scenario 3 Demand'!L19:O19)</x:f>
        <x:v>40</x:v>
      </x:c>
      <x:c r="G108" s="2" t="n">
        <x:f>SUM('Scenario 3 Demand'!P19:S19)</x:f>
        <x:v>20.077164586267628</x:v>
      </x:c>
      <x:c r="H108" s="2" t="n">
        <x:f>SUM('Scenario 3 Demand'!T19:W19)</x:f>
        <x:v>36.07601482275532</x:v>
      </x:c>
      <x:c r="I108" s="2" t="n">
        <x:f>SUM('Scenario 3 Demand'!X19:AA19)</x:f>
        <x:v>55.102385915492974</x:v>
      </x:c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21" customHeight="1">
      <x:c r="C109" s="27" t="str">
        <x:v>Net income</x:v>
      </x:c>
      <x:c r="D109" s="31" t="n">
        <x:f>SUM('Scenario 3 Demand'!D20:G20)</x:f>
        <x:v>85</x:v>
      </x:c>
      <x:c r="E109" s="31" t="n">
        <x:f>SUM('Scenario 3 Demand'!H20:K20)</x:f>
        <x:v>104</x:v>
      </x:c>
      <x:c r="F109" s="31" t="n">
        <x:f>SUM('Scenario 3 Demand'!L20:O20)</x:f>
        <x:v>120</x:v>
      </x:c>
      <x:c r="G109" s="31" t="n">
        <x:f>SUM('Scenario 3 Demand'!P20:S20)</x:f>
        <x:v>60.231493758802884</x:v>
      </x:c>
      <x:c r="H109" s="31" t="n">
        <x:f>SUM('Scenario 3 Demand'!T20:W20)</x:f>
        <x:v>108.22804446826595</x:v>
      </x:c>
      <x:c r="I109" s="31" t="n">
        <x:f>SUM('Scenario 3 Demand'!X20:AA20)</x:f>
        <x:v>165.3071577464789</x:v>
      </x:c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21" customHeight="1">
      <x:c r="C110" s="41" t="str">
        <x:v>Net margin</x:v>
      </x:c>
      <x:c r="D110" s="42" t="n">
        <x:f>D109/D98</x:f>
        <x:v>0.11805555555555554</x:v>
      </x:c>
      <x:c r="E110" s="42" t="n">
        <x:f>E109/E98</x:f>
        <x:v>0.1223529411764706</x:v>
      </x:c>
      <x:c r="F110" s="42" t="n">
        <x:f>F109/F98</x:f>
        <x:v>0.12631578947368421</x:v>
      </x:c>
      <x:c r="G110" s="42" t="n">
        <x:f>G109/G98</x:f>
        <x:v>0.07427550653431027</x:v>
      </x:c>
      <x:c r="H110" s="42" t="n">
        <x:f>H109/H98</x:f>
        <x:v>0.10718111806371522</x:v>
      </x:c>
      <x:c r="I110" s="42" t="n">
        <x:f>I109/I98</x:f>
        <x:v>0.1343770537716444</x:v>
      </x:c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 ht="21" customHeight="1">
      <x:c r="C111" s="1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 ht="21" customHeight="1">
      <x:c r="C112" s="15" t="str">
        <x:v>Balance sheet at year-end</x:v>
      </x:c>
      <x:c r="D112" s="16"/>
      <x:c r="E112" s="16"/>
      <x:c r="F112" s="16"/>
      <x:c r="G112" s="16"/>
      <x:c r="H112" s="16"/>
      <x:c r="I112" s="16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 ht="21" customHeight="1">
      <x:c r="C113" s="1" t="str">
        <x:v>Cash</x:v>
      </x:c>
      <x:c r="D113" s="2" t="n">
        <x:f>'Scenario 3 Demand'!G23</x:f>
        <x:v>59.8</x:v>
      </x:c>
      <x:c r="E113" s="2" t="n">
        <x:f>'Scenario 3 Demand'!K23</x:f>
        <x:v>130.8</x:v>
      </x:c>
      <x:c r="F113" s="2" t="n">
        <x:f>'Scenario 3 Demand'!O23</x:f>
        <x:v>210.8</x:v>
      </x:c>
      <x:c r="G113" s="2" t="n">
        <x:f>'Scenario 3 Demand'!S23</x:f>
        <x:v>146.11921712165852</x:v>
      </x:c>
      <x:c r="H113" s="2" t="n">
        <x:f>'Scenario 3 Demand'!W23</x:f>
        <x:v>141.66830135357847</x:v>
      </x:c>
      <x:c r="I113" s="2" t="n">
        <x:f>'Scenario 3 Demand'!AA23</x:f>
        <x:v>206.66605637354775</x:v>
      </x:c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 ht="21" customHeight="1">
      <x:c r="C114" s="1" t="str">
        <x:v>Accounts receivable</x:v>
      </x:c>
      <x:c r="D114" s="2" t="n">
        <x:f>'Scenario 3 Demand'!G24</x:f>
        <x:v>110</x:v>
      </x:c>
      <x:c r="E114" s="2" t="n">
        <x:f>'Scenario 3 Demand'!K24</x:f>
        <x:v>130</x:v>
      </x:c>
      <x:c r="F114" s="2" t="n">
        <x:f>'Scenario 3 Demand'!O24</x:f>
        <x:v>150</x:v>
      </x:c>
      <x:c r="G114" s="2" t="n">
        <x:f>'Scenario 3 Demand'!S24</x:f>
        <x:v>155.58784380032205</x:v>
      </x:c>
      <x:c r="H114" s="2" t="n">
        <x:f>'Scenario 3 Demand'!W24</x:f>
        <x:v>178.55684483242754</x:v>
      </x:c>
      <x:c r="I114" s="2" t="n">
        <x:f>'Scenario 3 Demand'!AA24</x:f>
        <x:v>199.03400000000002</x:v>
      </x:c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 ht="21" customHeight="1">
      <x:c r="C115" s="1" t="str">
        <x:v>Inventory</x:v>
      </x:c>
      <x:c r="D115" s="2" t="n">
        <x:f>'Scenario 3 Demand'!G25</x:f>
        <x:v>150</x:v>
      </x:c>
      <x:c r="E115" s="2" t="n">
        <x:f>'Scenario 3 Demand'!K25</x:f>
        <x:v>180</x:v>
      </x:c>
      <x:c r="F115" s="2" t="n">
        <x:f>'Scenario 3 Demand'!O25</x:f>
        <x:v>200</x:v>
      </x:c>
      <x:c r="G115" s="2" t="n">
        <x:f>'Scenario 3 Demand'!S25</x:f>
        <x:v>218.05654857756306</x:v>
      </x:c>
      <x:c r="H115" s="2" t="n">
        <x:f>'Scenario 3 Demand'!W25</x:f>
        <x:v>244.2703657910628</x:v>
      </x:c>
      <x:c r="I115" s="2" t="n">
        <x:f>'Scenario 3 Demand'!AA25</x:f>
        <x:v>265.3786666666667</x:v>
      </x:c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 ht="21" customHeight="1">
      <x:c r="C116" s="27" t="str">
        <x:v>Total current assets</x:v>
      </x:c>
      <x:c r="D116" s="31" t="n">
        <x:f>'Scenario 3 Demand'!G26</x:f>
        <x:v>319.8</x:v>
      </x:c>
      <x:c r="E116" s="31" t="n">
        <x:f>'Scenario 3 Demand'!K26</x:f>
        <x:v>440.8</x:v>
      </x:c>
      <x:c r="F116" s="31" t="n">
        <x:f>'Scenario 3 Demand'!O26</x:f>
        <x:v>560.8</x:v>
      </x:c>
      <x:c r="G116" s="31" t="n">
        <x:f>'Scenario 3 Demand'!S26</x:f>
        <x:v>519.7636094995436</x:v>
      </x:c>
      <x:c r="H116" s="31" t="n">
        <x:f>'Scenario 3 Demand'!W26</x:f>
        <x:v>564.4955119770688</x:v>
      </x:c>
      <x:c r="I116" s="31" t="n">
        <x:f>'Scenario 3 Demand'!AA26</x:f>
        <x:v>671.0787230402145</x:v>
      </x:c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 ht="21" customHeight="1">
      <x:c r="C117" s="1" t="str">
        <x:v>Net property, plant and equipment</x:v>
      </x:c>
      <x:c r="D117" s="2" t="n">
        <x:f>'Scenario 3 Demand'!G27</x:f>
        <x:v>500</x:v>
      </x:c>
      <x:c r="E117" s="2" t="n">
        <x:f>'Scenario 3 Demand'!K27</x:f>
        <x:v>550</x:v>
      </x:c>
      <x:c r="F117" s="2" t="n">
        <x:f>'Scenario 3 Demand'!O27</x:f>
        <x:v>600</x:v>
      </x:c>
      <x:c r="G117" s="2" t="n">
        <x:f>'Scenario 3 Demand'!S27</x:f>
        <x:v>639.4752916666666</x:v>
      </x:c>
      <x:c r="H117" s="2" t="n">
        <x:f>'Scenario 3 Demand'!W27</x:f>
        <x:v>677.4533595833335</x:v>
      </x:c>
      <x:c r="I117" s="2" t="n">
        <x:f>'Scenario 3 Demand'!AA27</x:f>
        <x:v>712.7151729333335</x:v>
      </x:c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 ht="21" customHeight="1">
      <x:c r="C118" s="27" t="str">
        <x:v>Total assets</x:v>
      </x:c>
      <x:c r="D118" s="31" t="n">
        <x:f>'Scenario 3 Demand'!G28</x:f>
        <x:v>819.8</x:v>
      </x:c>
      <x:c r="E118" s="31" t="n">
        <x:f>'Scenario 3 Demand'!K28</x:f>
        <x:v>990.8</x:v>
      </x:c>
      <x:c r="F118" s="31" t="n">
        <x:f>'Scenario 3 Demand'!O28</x:f>
        <x:v>1160.8</x:v>
      </x:c>
      <x:c r="G118" s="31" t="n">
        <x:f>'Scenario 3 Demand'!S28</x:f>
        <x:v>1159.2389011662103</x:v>
      </x:c>
      <x:c r="H118" s="31" t="n">
        <x:f>'Scenario 3 Demand'!W28</x:f>
        <x:v>1241.9488715604023</x:v>
      </x:c>
      <x:c r="I118" s="31" t="n">
        <x:f>'Scenario 3 Demand'!AA28</x:f>
        <x:v>1383.793895973548</x:v>
      </x:c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 ht="21" customHeight="1">
      <x:c r="C119" s="1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 ht="21" customHeight="1">
      <x:c r="C120" s="1" t="str">
        <x:v>Accounts payable</x:v>
      </x:c>
      <x:c r="D120" s="2" t="n">
        <x:f>'Scenario 3 Demand'!G30</x:f>
        <x:v>80</x:v>
      </x:c>
      <x:c r="E120" s="2" t="n">
        <x:f>'Scenario 3 Demand'!K30</x:f>
        <x:v>100</x:v>
      </x:c>
      <x:c r="F120" s="2" t="n">
        <x:f>'Scenario 3 Demand'!O30</x:f>
        <x:v>120</x:v>
      </x:c>
      <x:c r="G120" s="2" t="n">
        <x:f>'Scenario 3 Demand'!S30</x:f>
        <x:v>108.2074074074074</x:v>
      </x:c>
      <x:c r="H120" s="2" t="n">
        <x:f>'Scenario 3 Demand'!W30</x:f>
        <x:v>132.6893333333333</x:v>
      </x:c>
      <x:c r="I120" s="2" t="n">
        <x:f>'Scenario 3 Demand'!AA30</x:f>
        <x:v>159.2272</x:v>
      </x:c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 ht="21" customHeight="1">
      <x:c r="C121" s="1" t="str">
        <x:v>Current portion of debt</x:v>
      </x:c>
      <x:c r="D121" s="2" t="n">
        <x:f>'Scenario 3 Demand'!G31</x:f>
        <x:v>30</x:v>
      </x:c>
      <x:c r="E121" s="2" t="n">
        <x:f>'Scenario 3 Demand'!K31</x:f>
        <x:v>40</x:v>
      </x:c>
      <x:c r="F121" s="2" t="n">
        <x:f>'Scenario 3 Demand'!O31</x:f>
        <x:v>50</x:v>
      </x:c>
      <x:c r="G121" s="2" t="n">
        <x:f>'Scenario 3 Demand'!S31</x:f>
        <x:v>50</x:v>
      </x:c>
      <x:c r="H121" s="2" t="n">
        <x:f>'Scenario 3 Demand'!W31</x:f>
        <x:v>50</x:v>
      </x:c>
      <x:c r="I121" s="2" t="n">
        <x:f>'Scenario 3 Demand'!AA31</x:f>
        <x:v>50</x:v>
      </x:c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 ht="21" customHeight="1">
      <x:c r="C122" s="1" t="str">
        <x:v>Total current liabilities</x:v>
      </x:c>
      <x:c r="D122" s="2" t="n">
        <x:f>'Scenario 3 Demand'!G32</x:f>
        <x:v>110</x:v>
      </x:c>
      <x:c r="E122" s="2" t="n">
        <x:f>'Scenario 3 Demand'!K32</x:f>
        <x:v>140</x:v>
      </x:c>
      <x:c r="F122" s="2" t="n">
        <x:f>'Scenario 3 Demand'!O32</x:f>
        <x:v>170</x:v>
      </x:c>
      <x:c r="G122" s="2" t="n">
        <x:f>'Scenario 3 Demand'!S32</x:f>
        <x:v>158.2074074074074</x:v>
      </x:c>
      <x:c r="H122" s="2" t="n">
        <x:f>'Scenario 3 Demand'!W32</x:f>
        <x:v>182.6893333333333</x:v>
      </x:c>
      <x:c r="I122" s="2" t="n">
        <x:f>'Scenario 3 Demand'!AA32</x:f>
        <x:v>209.2272</x:v>
      </x:c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 ht="21" customHeight="1">
      <x:c r="C123" s="1" t="str">
        <x:v>Long-term debt</x:v>
      </x:c>
      <x:c r="D123" s="2" t="n">
        <x:f>'Scenario 3 Demand'!G33</x:f>
        <x:v>350</x:v>
      </x:c>
      <x:c r="E123" s="2" t="n">
        <x:f>'Scenario 3 Demand'!K33</x:f>
        <x:v>320</x:v>
      </x:c>
      <x:c r="F123" s="2" t="n">
        <x:f>'Scenario 3 Demand'!O33</x:f>
        <x:v>300</x:v>
      </x:c>
      <x:c r="G123" s="2" t="n">
        <x:f>'Scenario 3 Demand'!S33</x:f>
        <x:v>250</x:v>
      </x:c>
      <x:c r="H123" s="2" t="n">
        <x:f>'Scenario 3 Demand'!W33</x:f>
        <x:v>200</x:v>
      </x:c>
      <x:c r="I123" s="2" t="n">
        <x:f>'Scenario 3 Demand'!AA33</x:f>
        <x:v>150</x:v>
      </x:c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 ht="21" customHeight="1">
      <x:c r="C124" s="27" t="str">
        <x:v>Total liabilities</x:v>
      </x:c>
      <x:c r="D124" s="31" t="n">
        <x:f>'Scenario 3 Demand'!G34</x:f>
        <x:v>460</x:v>
      </x:c>
      <x:c r="E124" s="31" t="n">
        <x:f>'Scenario 3 Demand'!K34</x:f>
        <x:v>460</x:v>
      </x:c>
      <x:c r="F124" s="31" t="n">
        <x:f>'Scenario 3 Demand'!O34</x:f>
        <x:v>470</x:v>
      </x:c>
      <x:c r="G124" s="31" t="n">
        <x:f>'Scenario 3 Demand'!S34</x:f>
        <x:v>408.2074074074074</x:v>
      </x:c>
      <x:c r="H124" s="31" t="n">
        <x:f>'Scenario 3 Demand'!W34</x:f>
        <x:v>382.6893333333333</x:v>
      </x:c>
      <x:c r="I124" s="31" t="n">
        <x:f>'Scenario 3 Demand'!AA34</x:f>
        <x:v>359.22720000000004</x:v>
      </x:c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 ht="21" customHeight="1">
      <x:c r="C125" s="1" t="str">
        <x:v>Common stock</x:v>
      </x:c>
      <x:c r="D125" s="2" t="n">
        <x:f>'Scenario 3 Demand'!G35</x:f>
        <x:v>158</x:v>
      </x:c>
      <x:c r="E125" s="2" t="n">
        <x:f>'Scenario 3 Demand'!K35</x:f>
        <x:v>225</x:v>
      </x:c>
      <x:c r="F125" s="2" t="n">
        <x:f>'Scenario 3 Demand'!O35</x:f>
        <x:v>265</x:v>
      </x:c>
      <x:c r="G125" s="2" t="n">
        <x:f>'Scenario 3 Demand'!S35</x:f>
        <x:v>265</x:v>
      </x:c>
      <x:c r="H125" s="2" t="n">
        <x:f>'Scenario 3 Demand'!W35</x:f>
        <x:v>265</x:v>
      </x:c>
      <x:c r="I125" s="2" t="n">
        <x:f>'Scenario 3 Demand'!AA35</x:f>
        <x:v>265</x:v>
      </x:c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 ht="21" customHeight="1">
      <x:c r="C126" s="1" t="str">
        <x:v>Retained earnings</x:v>
      </x:c>
      <x:c r="D126" s="2" t="n">
        <x:f>'Scenario 3 Demand'!G36</x:f>
        <x:v>202</x:v>
      </x:c>
      <x:c r="E126" s="2" t="n">
        <x:f>'Scenario 3 Demand'!K36</x:f>
        <x:v>306</x:v>
      </x:c>
      <x:c r="F126" s="2" t="n">
        <x:f>'Scenario 3 Demand'!O36</x:f>
        <x:v>426</x:v>
      </x:c>
      <x:c r="G126" s="2" t="n">
        <x:f>'Scenario 3 Demand'!S36</x:f>
        <x:v>486.2314937588029</x:v>
      </x:c>
      <x:c r="H126" s="2" t="n">
        <x:f>'Scenario 3 Demand'!W36</x:f>
        <x:v>594.459538227069</x:v>
      </x:c>
      <x:c r="I126" s="2" t="n">
        <x:f>'Scenario 3 Demand'!AA36</x:f>
        <x:v>759.7666959735479</x:v>
      </x:c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 ht="21" customHeight="1">
      <x:c r="C127" s="1" t="str">
        <x:v>Unresolved opening equity difference</x:v>
      </x:c>
      <x:c r="D127" s="2" t="n">
        <x:f>'Scenario 3 Demand'!G37</x:f>
        <x:v>-0.2</x:v>
      </x:c>
      <x:c r="E127" s="2" t="n">
        <x:f>'Scenario 3 Demand'!K37</x:f>
        <x:v>-0.2</x:v>
      </x:c>
      <x:c r="F127" s="2" t="n">
        <x:f>'Scenario 3 Demand'!O37</x:f>
        <x:v>-0.2</x:v>
      </x:c>
      <x:c r="G127" s="2" t="n">
        <x:f>'Scenario 3 Demand'!S37</x:f>
        <x:v>-0.2</x:v>
      </x:c>
      <x:c r="H127" s="2" t="n">
        <x:f>'Scenario 3 Demand'!W37</x:f>
        <x:v>-0.2</x:v>
      </x:c>
      <x:c r="I127" s="2" t="n">
        <x:f>'Scenario 3 Demand'!AA37</x:f>
        <x:v>-0.2</x:v>
      </x:c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 ht="21" customHeight="1">
      <x:c r="C128" s="27" t="str">
        <x:v>Total liabilities and equity</x:v>
      </x:c>
      <x:c r="D128" s="31" t="n">
        <x:f>'Scenario 3 Demand'!G38</x:f>
        <x:v>819.8</x:v>
      </x:c>
      <x:c r="E128" s="31" t="n">
        <x:f>'Scenario 3 Demand'!K38</x:f>
        <x:v>990.8</x:v>
      </x:c>
      <x:c r="F128" s="31" t="n">
        <x:f>'Scenario 3 Demand'!O38</x:f>
        <x:v>1160.8</x:v>
      </x:c>
      <x:c r="G128" s="31" t="n">
        <x:f>'Scenario 3 Demand'!S38</x:f>
        <x:v>1159.23890116621</x:v>
      </x:c>
      <x:c r="H128" s="31" t="n">
        <x:f>'Scenario 3 Demand'!W38</x:f>
        <x:v>1241.9488715604023</x:v>
      </x:c>
      <x:c r="I128" s="31" t="n">
        <x:f>'Scenario 3 Demand'!AA38</x:f>
        <x:v>1383.793895973548</x:v>
      </x:c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 ht="21" customHeight="1">
      <x:c r="C129" s="1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 ht="21" customHeight="1">
      <x:c r="C130" s="15" t="str">
        <x:v>Cash flow statement</x:v>
      </x:c>
      <x:c r="D130" s="16"/>
      <x:c r="E130" s="16"/>
      <x:c r="F130" s="16"/>
      <x:c r="G130" s="16"/>
      <x:c r="H130" s="16"/>
      <x:c r="I130" s="16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 ht="21" customHeight="1">
      <x:c r="C131" s="1" t="str">
        <x:v>Net income</x:v>
      </x:c>
      <x:c r="D131" s="2" t="n">
        <x:f>SUM('Scenario 3 Demand'!D41:G41)</x:f>
        <x:v>85</x:v>
      </x:c>
      <x:c r="E131" s="2" t="n">
        <x:f>SUM('Scenario 3 Demand'!H41:K41)</x:f>
        <x:v>104</x:v>
      </x:c>
      <x:c r="F131" s="2" t="n">
        <x:f>SUM('Scenario 3 Demand'!L41:O41)</x:f>
        <x:v>120</x:v>
      </x:c>
      <x:c r="G131" s="2" t="n">
        <x:f>SUM('Scenario 3 Demand'!P41:S41)</x:f>
        <x:v>60.231493758802884</x:v>
      </x:c>
      <x:c r="H131" s="2" t="n">
        <x:f>SUM('Scenario 3 Demand'!T41:W41)</x:f>
        <x:v>108.22804446826595</x:v>
      </x:c>
      <x:c r="I131" s="2" t="n">
        <x:f>SUM('Scenario 3 Demand'!X41:AA41)</x:f>
        <x:v>165.3071577464789</x:v>
      </x:c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 ht="21" customHeight="1">
      <x:c r="C132" s="1" t="str">
        <x:v>Reported / modelled noncash add-back</x:v>
      </x:c>
      <x:c r="D132" s="2" t="n">
        <x:f>SUM('Scenario 3 Demand'!D42:G42)</x:f>
        <x:v>0</x:v>
      </x:c>
      <x:c r="E132" s="2" t="n">
        <x:f>SUM('Scenario 3 Demand'!H42:K42)</x:f>
        <x:v>0</x:v>
      </x:c>
      <x:c r="F132" s="2" t="n">
        <x:f>SUM('Scenario 3 Demand'!L42:O42)</x:f>
        <x:v>0</x:v>
      </x:c>
      <x:c r="G132" s="2" t="n">
        <x:f>SUM('Scenario 3 Demand'!P42:S42)</x:f>
        <x:v>65.02470833333334</x:v>
      </x:c>
      <x:c r="H132" s="2" t="n">
        <x:f>SUM('Scenario 3 Demand'!T42:W42)</x:f>
        <x:v>75.92693208333334</x:v>
      </x:c>
      <x:c r="I132" s="2" t="n">
        <x:f>SUM('Scenario 3 Demand'!X42:AA42)</x:f>
        <x:v>87.75558665000001</x:v>
      </x:c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 ht="21" customHeight="1">
      <x:c r="C133" s="1" t="str">
        <x:v>Cash effect of receivables</x:v>
      </x:c>
      <x:c r="D133" s="2" t="n">
        <x:f>SUM('Scenario 3 Demand'!D43:G43)</x:f>
        <x:v>-18</x:v>
      </x:c>
      <x:c r="E133" s="2" t="n">
        <x:f>SUM('Scenario 3 Demand'!H43:K43)</x:f>
        <x:v>-20</x:v>
      </x:c>
      <x:c r="F133" s="2" t="n">
        <x:f>SUM('Scenario 3 Demand'!L43:O43)</x:f>
        <x:v>-20</x:v>
      </x:c>
      <x:c r="G133" s="2" t="n">
        <x:f>SUM('Scenario 3 Demand'!P43:S43)</x:f>
        <x:v>-5.587843800322048</x:v>
      </x:c>
      <x:c r="H133" s="2" t="n">
        <x:f>SUM('Scenario 3 Demand'!T43:W43)</x:f>
        <x:v>-22.969001032105496</x:v>
      </x:c>
      <x:c r="I133" s="2" t="n">
        <x:f>SUM('Scenario 3 Demand'!X43:AA43)</x:f>
        <x:v>-20.477155167572477</x:v>
      </x:c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 ht="21" customHeight="1">
      <x:c r="C134" s="1" t="str">
        <x:v>Cash effect of inventory</x:v>
      </x:c>
      <x:c r="D134" s="2" t="n">
        <x:f>SUM('Scenario 3 Demand'!D44:G44)</x:f>
        <x:v>-30</x:v>
      </x:c>
      <x:c r="E134" s="2" t="n">
        <x:f>SUM('Scenario 3 Demand'!H44:K44)</x:f>
        <x:v>-30</x:v>
      </x:c>
      <x:c r="F134" s="2" t="n">
        <x:f>SUM('Scenario 3 Demand'!L44:O44)</x:f>
        <x:v>-20</x:v>
      </x:c>
      <x:c r="G134" s="2" t="n">
        <x:f>SUM('Scenario 3 Demand'!P44:S44)</x:f>
        <x:v>-18.056548577563063</x:v>
      </x:c>
      <x:c r="H134" s="2" t="n">
        <x:f>SUM('Scenario 3 Demand'!T44:W44)</x:f>
        <x:v>-26.213817213499738</x:v>
      </x:c>
      <x:c r="I134" s="2" t="n">
        <x:f>SUM('Scenario 3 Demand'!X44:AA44)</x:f>
        <x:v>-21.108300875603874</x:v>
      </x:c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 ht="21" customHeight="1">
      <x:c r="C135" s="1" t="str">
        <x:v>Cash effect of payables</x:v>
      </x:c>
      <x:c r="D135" s="2" t="n">
        <x:f>SUM('Scenario 3 Demand'!D45:G45)</x:f>
        <x:v>28.000000000000004</x:v>
      </x:c>
      <x:c r="E135" s="2" t="n">
        <x:f>SUM('Scenario 3 Demand'!H45:K45)</x:f>
        <x:v>20</x:v>
      </x:c>
      <x:c r="F135" s="2" t="n">
        <x:f>SUM('Scenario 3 Demand'!L45:O45)</x:f>
        <x:v>20</x:v>
      </x:c>
      <x:c r="G135" s="2" t="n">
        <x:f>SUM('Scenario 3 Demand'!P45:S45)</x:f>
        <x:v>-11.792592592592598</x:v>
      </x:c>
      <x:c r="H135" s="2" t="n">
        <x:f>SUM('Scenario 3 Demand'!T45:W45)</x:f>
        <x:v>24.481925925925907</x:v>
      </x:c>
      <x:c r="I135" s="2" t="n">
        <x:f>SUM('Scenario 3 Demand'!X45:AA45)</x:f>
        <x:v>26.5378666666667</x:v>
      </x:c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 ht="21" customHeight="1">
      <x:c r="C136" s="27" t="str">
        <x:v>Cash from operations</x:v>
      </x:c>
      <x:c r="D136" s="31" t="n">
        <x:f>SUM('Scenario 3 Demand'!D46:G46)</x:f>
        <x:v>65</x:v>
      </x:c>
      <x:c r="E136" s="31" t="n">
        <x:f>SUM('Scenario 3 Demand'!H46:K46)</x:f>
        <x:v>74</x:v>
      </x:c>
      <x:c r="F136" s="31" t="n">
        <x:f>SUM('Scenario 3 Demand'!L46:O46)</x:f>
        <x:v>99.99999999999999</x:v>
      </x:c>
      <x:c r="G136" s="31" t="n">
        <x:f>SUM('Scenario 3 Demand'!P46:S46)</x:f>
        <x:v>89.81921712165851</x:v>
      </x:c>
      <x:c r="H136" s="31" t="n">
        <x:f>SUM('Scenario 3 Demand'!T46:W46)</x:f>
        <x:v>159.45408423191995</x:v>
      </x:c>
      <x:c r="I136" s="31" t="n">
        <x:f>SUM('Scenario 3 Demand'!X46:AA46)</x:f>
        <x:v>238.01515501996928</x:v>
      </x:c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 ht="21" customHeight="1">
      <x:c r="C137" s="1" t="str">
        <x:v>Net PP&amp;E investing cash flow</x:v>
      </x:c>
      <x:c r="D137" s="2" t="n">
        <x:f>SUM('Scenario 3 Demand'!D47:G47)</x:f>
        <x:v>-80</x:v>
      </x:c>
      <x:c r="E137" s="2" t="n">
        <x:f>SUM('Scenario 3 Demand'!H47:K47)</x:f>
        <x:v>-50</x:v>
      </x:c>
      <x:c r="F137" s="2" t="n">
        <x:f>SUM('Scenario 3 Demand'!L47:O47)</x:f>
        <x:v>-50</x:v>
      </x:c>
      <x:c r="G137" s="2" t="n">
        <x:f>SUM('Scenario 3 Demand'!P47:S47)</x:f>
        <x:v>-104.5</x:v>
      </x:c>
      <x:c r="H137" s="2" t="n">
        <x:f>SUM('Scenario 3 Demand'!T47:W47)</x:f>
        <x:v>-113.90500000000002</x:v>
      </x:c>
      <x:c r="I137" s="2" t="n">
        <x:f>SUM('Scenario 3 Demand'!X47:AA47)</x:f>
        <x:v>-123.01740000000001</x:v>
      </x:c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 ht="21" customHeight="1">
      <x:c r="C138" s="27" t="str">
        <x:v>Cash from investing</x:v>
      </x:c>
      <x:c r="D138" s="31" t="n">
        <x:f>SUM('Scenario 3 Demand'!D48:G48)</x:f>
        <x:v>-80</x:v>
      </x:c>
      <x:c r="E138" s="31" t="n">
        <x:f>SUM('Scenario 3 Demand'!H48:K48)</x:f>
        <x:v>-50</x:v>
      </x:c>
      <x:c r="F138" s="31" t="n">
        <x:f>SUM('Scenario 3 Demand'!L48:O48)</x:f>
        <x:v>-50</x:v>
      </x:c>
      <x:c r="G138" s="31" t="n">
        <x:f>SUM('Scenario 3 Demand'!P48:S48)</x:f>
        <x:v>-104.5</x:v>
      </x:c>
      <x:c r="H138" s="31" t="n">
        <x:f>SUM('Scenario 3 Demand'!T48:W48)</x:f>
        <x:v>-113.90500000000002</x:v>
      </x:c>
      <x:c r="I138" s="31" t="n">
        <x:f>SUM('Scenario 3 Demand'!X48:AA48)</x:f>
        <x:v>-123.01740000000001</x:v>
      </x:c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 ht="21" customHeight="1">
      <x:c r="C139" s="1" t="str">
        <x:v>Net cash borrowing / repayment</x:v>
      </x:c>
      <x:c r="D139" s="2" t="n">
        <x:f>SUM('Scenario 3 Demand'!D49:G49)</x:f>
        <x:v>-5</x:v>
      </x:c>
      <x:c r="E139" s="2" t="n">
        <x:f>SUM('Scenario 3 Demand'!H49:K49)</x:f>
        <x:v>-20</x:v>
      </x:c>
      <x:c r="F139" s="2" t="n">
        <x:f>SUM('Scenario 3 Demand'!L49:O49)</x:f>
        <x:v>-10</x:v>
      </x:c>
      <x:c r="G139" s="2" t="n">
        <x:f>SUM('Scenario 3 Demand'!P49:S49)</x:f>
        <x:v>-50</x:v>
      </x:c>
      <x:c r="H139" s="2" t="n">
        <x:f>SUM('Scenario 3 Demand'!T49:W49)</x:f>
        <x:v>-50</x:v>
      </x:c>
      <x:c r="I139" s="2" t="n">
        <x:f>SUM('Scenario 3 Demand'!X49:AA49)</x:f>
        <x:v>-50</x:v>
      </x:c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 ht="21" customHeight="1">
      <x:c r="C140" s="1" t="str">
        <x:v>Net cash equity financing</x:v>
      </x:c>
      <x:c r="D140" s="2" t="n">
        <x:f>SUM('Scenario 3 Demand'!D50:G50)</x:f>
        <x:v>58</x:v>
      </x:c>
      <x:c r="E140" s="2" t="n">
        <x:f>SUM('Scenario 3 Demand'!H50:K50)</x:f>
        <x:v>67</x:v>
      </x:c>
      <x:c r="F140" s="2" t="n">
        <x:f>SUM('Scenario 3 Demand'!L50:O50)</x:f>
        <x:v>40</x:v>
      </x:c>
      <x:c r="G140" s="2" t="n">
        <x:f>SUM('Scenario 3 Demand'!P50:S50)</x:f>
        <x:v>0</x:v>
      </x:c>
      <x:c r="H140" s="2" t="n">
        <x:f>SUM('Scenario 3 Demand'!T50:W50)</x:f>
        <x:v>0</x:v>
      </x:c>
      <x:c r="I140" s="2" t="n">
        <x:f>SUM('Scenario 3 Demand'!X50:AA50)</x:f>
        <x:v>0</x:v>
      </x:c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 ht="21" customHeight="1">
      <x:c r="C141" s="1" t="str">
        <x:v>Cash dividends paid</x:v>
      </x:c>
      <x:c r="D141" s="2" t="n">
        <x:f>SUM('Scenario 3 Demand'!D51:G51)</x:f>
        <x:v>0</x:v>
      </x:c>
      <x:c r="E141" s="2" t="n">
        <x:f>SUM('Scenario 3 Demand'!H51:K51)</x:f>
        <x:v>0</x:v>
      </x:c>
      <x:c r="F141" s="2" t="n">
        <x:f>SUM('Scenario 3 Demand'!L51:O51)</x:f>
        <x:v>0</x:v>
      </x:c>
      <x:c r="G141" s="2" t="n">
        <x:f>SUM('Scenario 3 Demand'!P51:S51)</x:f>
        <x:v>0</x:v>
      </x:c>
      <x:c r="H141" s="2" t="n">
        <x:f>SUM('Scenario 3 Demand'!T51:W51)</x:f>
        <x:v>0</x:v>
      </x:c>
      <x:c r="I141" s="2" t="n">
        <x:f>SUM('Scenario 3 Demand'!X51:AA51)</x:f>
        <x:v>0</x:v>
      </x:c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 ht="21" customHeight="1">
      <x:c r="C142" s="27" t="str">
        <x:v>Cash from financing</x:v>
      </x:c>
      <x:c r="D142" s="31" t="n">
        <x:f>SUM('Scenario 3 Demand'!D52:G52)</x:f>
        <x:v>53</x:v>
      </x:c>
      <x:c r="E142" s="31" t="n">
        <x:f>SUM('Scenario 3 Demand'!H52:K52)</x:f>
        <x:v>47</x:v>
      </x:c>
      <x:c r="F142" s="31" t="n">
        <x:f>SUM('Scenario 3 Demand'!L52:O52)</x:f>
        <x:v>30</x:v>
      </x:c>
      <x:c r="G142" s="31" t="n">
        <x:f>SUM('Scenario 3 Demand'!P52:S52)</x:f>
        <x:v>-50</x:v>
      </x:c>
      <x:c r="H142" s="31" t="n">
        <x:f>SUM('Scenario 3 Demand'!T52:W52)</x:f>
        <x:v>-50</x:v>
      </x:c>
      <x:c r="I142" s="31" t="n">
        <x:f>SUM('Scenario 3 Demand'!X52:AA52)</x:f>
        <x:v>-50</x:v>
      </x:c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 ht="21" customHeight="1">
      <x:c r="C143" s="27" t="str">
        <x:v>Change in cash</x:v>
      </x:c>
      <x:c r="D143" s="31" t="n">
        <x:f>SUM('Scenario 3 Demand'!D53:G53)</x:f>
        <x:v>38</x:v>
      </x:c>
      <x:c r="E143" s="31" t="n">
        <x:f>SUM('Scenario 3 Demand'!H53:K53)</x:f>
        <x:v>70.99999999999999</x:v>
      </x:c>
      <x:c r="F143" s="31" t="n">
        <x:f>SUM('Scenario 3 Demand'!L53:O53)</x:f>
        <x:v>80</x:v>
      </x:c>
      <x:c r="G143" s="31" t="n">
        <x:f>SUM('Scenario 3 Demand'!P53:S53)</x:f>
        <x:v>-64.68078287834149</x:v>
      </x:c>
      <x:c r="H143" s="31" t="n">
        <x:f>SUM('Scenario 3 Demand'!T53:W53)</x:f>
        <x:v>-4.4509157680800655</x:v>
      </x:c>
      <x:c r="I143" s="31" t="n">
        <x:f>SUM('Scenario 3 Demand'!X53:AA53)</x:f>
        <x:v>64.99775501996928</x:v>
      </x:c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 ht="21" customHeight="1">
      <x:c r="C144" s="1" t="str">
        <x:v>Opening cash</x:v>
      </x:c>
      <x:c r="D144" s="2" t="n">
        <x:f>'Scenario 3 Demand'!D54</x:f>
        <x:v>21.8</x:v>
      </x:c>
      <x:c r="E144" s="2" t="n">
        <x:f>'Scenario 3 Demand'!H54</x:f>
        <x:v>59.8</x:v>
      </x:c>
      <x:c r="F144" s="2" t="n">
        <x:f>'Scenario 3 Demand'!L54</x:f>
        <x:v>130.8</x:v>
      </x:c>
      <x:c r="G144" s="2" t="n">
        <x:f>'Scenario 3 Demand'!P54</x:f>
        <x:v>210.8</x:v>
      </x:c>
      <x:c r="H144" s="2" t="n">
        <x:f>'Scenario 3 Demand'!T54</x:f>
        <x:v>146.11921712165852</x:v>
      </x:c>
      <x:c r="I144" s="2" t="n">
        <x:f>'Scenario 3 Demand'!X54</x:f>
        <x:v>141.66830135357847</x:v>
      </x:c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 ht="21" customHeight="1">
      <x:c r="C145" s="27" t="str">
        <x:v>Closing cash</x:v>
      </x:c>
      <x:c r="D145" s="31" t="n">
        <x:f>'Scenario 3 Demand'!G55</x:f>
        <x:v>59.8</x:v>
      </x:c>
      <x:c r="E145" s="31" t="n">
        <x:f>'Scenario 3 Demand'!K55</x:f>
        <x:v>130.8</x:v>
      </x:c>
      <x:c r="F145" s="31" t="n">
        <x:f>'Scenario 3 Demand'!O55</x:f>
        <x:v>210.8</x:v>
      </x:c>
      <x:c r="G145" s="31" t="n">
        <x:f>'Scenario 3 Demand'!S55</x:f>
        <x:v>146.11921712165852</x:v>
      </x:c>
      <x:c r="H145" s="31" t="n">
        <x:f>'Scenario 3 Demand'!W55</x:f>
        <x:v>141.66830135357847</x:v>
      </x:c>
      <x:c r="I145" s="31" t="n">
        <x:f>'Scenario 3 Demand'!AA55</x:f>
        <x:v>206.66605637354775</x:v>
      </x:c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 ht="21" customHeight="1">
      <x:c r="C146" s="1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 ht="21" customHeight="1">
      <x:c r="C147" s="15" t="str">
        <x:v>Financing and investment</x:v>
      </x:c>
      <x:c r="D147" s="16"/>
      <x:c r="E147" s="16"/>
      <x:c r="F147" s="16"/>
      <x:c r="G147" s="16"/>
      <x:c r="H147" s="16"/>
      <x:c r="I147" s="16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 ht="21" customHeight="1">
      <x:c r="C148" s="27" t="str">
        <x:v>Total interest-bearing debt</x:v>
      </x:c>
      <x:c r="D148" s="31" t="n">
        <x:f>D121+D123</x:f>
        <x:v>380</x:v>
      </x:c>
      <x:c r="E148" s="31" t="n">
        <x:f>E121+E123</x:f>
        <x:v>360</x:v>
      </x:c>
      <x:c r="F148" s="31" t="n">
        <x:f>F121+F123</x:f>
        <x:v>350</x:v>
      </x:c>
      <x:c r="G148" s="31" t="n">
        <x:f>G121+G123</x:f>
        <x:v>300</x:v>
      </x:c>
      <x:c r="H148" s="31" t="n">
        <x:f>H121+H123</x:f>
        <x:v>250</x:v>
      </x:c>
      <x:c r="I148" s="31" t="n">
        <x:f>I121+I123</x:f>
        <x:v>200</x:v>
      </x:c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 ht="21" customHeight="1">
      <x:c r="C149" s="27" t="str">
        <x:v>Net debt / (net cash)</x:v>
      </x:c>
      <x:c r="D149" s="31" t="n">
        <x:f>D148-D113</x:f>
        <x:v>320.2</x:v>
      </x:c>
      <x:c r="E149" s="31" t="n">
        <x:f>E148-E113</x:f>
        <x:v>229.2</x:v>
      </x:c>
      <x:c r="F149" s="31" t="n">
        <x:f>F148-F113</x:f>
        <x:v>139.2</x:v>
      </x:c>
      <x:c r="G149" s="31" t="n">
        <x:f>G148-G113</x:f>
        <x:v>153.88078287834148</x:v>
      </x:c>
      <x:c r="H149" s="31" t="n">
        <x:f>H148-H113</x:f>
        <x:v>108.33169864642153</x:v>
      </x:c>
      <x:c r="I149" s="31" t="n">
        <x:f>I148-I113</x:f>
        <x:v>-6.666056373547747</x:v>
      </x:c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 ht="21" customHeight="1">
      <x:c r="C150" s="1" t="str">
        <x:v>Operating income / interest</x:v>
      </x:c>
      <x:c r="D150" s="43" t="n">
        <x:f>D104/D106</x:f>
        <x:v>5.52</x:v>
      </x:c>
      <x:c r="E150" s="43" t="n">
        <x:f>E104/E106</x:f>
        <x:v>7.2727272727272725</x:v>
      </x:c>
      <x:c r="F150" s="43" t="n">
        <x:f>F104/F106</x:f>
        <x:v>8.999999999999998</x:v>
      </x:c>
      <x:c r="G150" s="43" t="n">
        <x:f>G104/G106</x:f>
        <x:v>5.386088263461542</x:v>
      </x:c>
      <x:c r="H150" s="43" t="n">
        <x:f>H104/H106</x:f>
        <x:v>10.31417109969319</x:v>
      </x:c>
      <x:c r="I150" s="43" t="n">
        <x:f>I104/I106</x:f>
        <x:v>18.387864000000008</x:v>
      </x:c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 ht="21" customHeight="1">
      <x:c r="C151" s="1" t="str">
        <x:v>Capital expenditure</x:v>
      </x:c>
      <x:c r="D151" s="2" t="str">
        <x:v>n.a.</x:v>
      </x:c>
      <x:c r="E151" s="2" t="str">
        <x:v>n.a.</x:v>
      </x:c>
      <x:c r="F151" s="2" t="str">
        <x:v>n.a.</x:v>
      </x:c>
      <x:c r="G151" s="2" t="n">
        <x:f>SUM('Scenario 3 Demand'!P59:S59)</x:f>
        <x:v>104.5</x:v>
      </x:c>
      <x:c r="H151" s="2" t="n">
        <x:f>SUM('Scenario 3 Demand'!T59:W59)</x:f>
        <x:v>113.90500000000002</x:v>
      </x:c>
      <x:c r="I151" s="2" t="n">
        <x:f>SUM('Scenario 3 Demand'!X59:AA59)</x:f>
        <x:v>123.01740000000001</x:v>
      </x:c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 ht="21" customHeight="1">
      <x:c r="C152" s="1" t="str">
        <x:v>Depreciation expense</x:v>
      </x:c>
      <x:c r="D152" s="2" t="str">
        <x:v>n.a.</x:v>
      </x:c>
      <x:c r="E152" s="2" t="str">
        <x:v>n.a.</x:v>
      </x:c>
      <x:c r="F152" s="2" t="str">
        <x:v>n.a.</x:v>
      </x:c>
      <x:c r="G152" s="2" t="n">
        <x:f>SUM('Scenario 3 Demand'!P15:S15)</x:f>
        <x:v>65.02470833333334</x:v>
      </x:c>
      <x:c r="H152" s="2" t="n">
        <x:f>SUM('Scenario 3 Demand'!T15:W15)</x:f>
        <x:v>75.92693208333334</x:v>
      </x:c>
      <x:c r="I152" s="2" t="n">
        <x:f>SUM('Scenario 3 Demand'!X15:AA15)</x:f>
        <x:v>87.75558665000001</x:v>
      </x:c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</x:sheetData>
  <x:pageMargins left="0.7" right="0.7" top="0.75" bottom="0.75" header="0.3" footer="0.3"/>
</x:worksheet>
</file>